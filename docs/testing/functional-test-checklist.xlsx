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测试用例" sheetId="3" state="visible" r:id="rId3"/>
  </sheets>
  <definedNames>
    <definedName name="_xlnm._FilterDatabase" localSheetId="2" hidden="1">'测试用例'!$A$1:$M$153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  <color rgb="00C0392B"/>
    </font>
    <font>
      <b val="1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4FD"/>
      </patternFill>
    </fill>
    <fill>
      <patternFill patternType="solid">
        <fgColor rgb="00FFF4E5"/>
      </patternFill>
    </fill>
    <fill>
      <patternFill patternType="solid">
        <fgColor rgb="00EAF7EE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Workflow System 功能测试表</t>
        </is>
      </c>
    </row>
    <row r="2">
      <c r="A2" s="2" t="inlineStr">
        <is>
          <t>版本：v0.1.0（main）　编写日期：2026-10-12</t>
        </is>
      </c>
    </row>
    <row r="3">
      <c r="A3" s="2" t="inlineStr"/>
    </row>
    <row r="4">
      <c r="A4" s="3" t="inlineStr">
        <is>
          <t>怎么用</t>
        </is>
      </c>
    </row>
    <row r="5">
      <c r="A5" s="2" t="inlineStr">
        <is>
          <t>1. 在"测试用例"页从上往下测，P0 先测（必须通过才能上线），P1 次之，P2 有空再测。</t>
        </is>
      </c>
    </row>
    <row r="6">
      <c r="A6" s="2" t="inlineStr">
        <is>
          <t>2. 每条按"操作步骤"做，对照"预期结果"，在"测试结果"列下拉选：通过 / 不通过 / 阻塞 / 跳过。</t>
        </is>
      </c>
    </row>
    <row r="7">
      <c r="A7" s="2" t="inlineStr">
        <is>
          <t>3. 不通过时在"问题/备注"写清楚实际看到了什么（最好附截图文件名）。</t>
        </is>
      </c>
    </row>
    <row r="8">
      <c r="A8" s="2" t="inlineStr">
        <is>
          <t>4. "汇总"页会自动统计进度和通过率。</t>
        </is>
      </c>
    </row>
    <row r="9">
      <c r="A9" s="2" t="inlineStr"/>
    </row>
    <row r="10">
      <c r="A10" s="3" t="inlineStr">
        <is>
          <t>"老系统要求"和"对照"两列</t>
        </is>
      </c>
    </row>
    <row r="11">
      <c r="A11" s="2" t="inlineStr">
        <is>
          <t>老系统要求：摘自 new-system-doc.md 第一部分，§ 是章节号。这是最低标准，新系统必须做到。</t>
        </is>
      </c>
    </row>
    <row r="12">
      <c r="A12" s="2" t="inlineStr">
        <is>
          <t>同等：与老系统一致。　增强：做到老系统的要求，并且更多。　新增：老系统没有。</t>
        </is>
      </c>
    </row>
    <row r="13">
      <c r="A13" s="2" t="inlineStr">
        <is>
          <t>差异：之前已决定有意改变做法（例如客户字段只存一份、删除改为回收站），测试时确认新做法业务上能接受。</t>
        </is>
      </c>
    </row>
    <row r="14">
      <c r="A14" s="2" t="inlineStr">
        <is>
          <t>待确认：代码里没看到老系统的这条规则，或行为可能不同。这几条请重点测，结果告诉我，再决定是否补。</t>
        </is>
      </c>
    </row>
    <row r="15">
      <c r="A15" s="2" t="inlineStr">
        <is>
          <t>不适用：老系统也只是占位。</t>
        </is>
      </c>
    </row>
    <row r="16">
      <c r="A16" s="2" t="inlineStr"/>
    </row>
    <row r="17">
      <c r="A17" s="3" t="inlineStr">
        <is>
          <t>测试前准备</t>
        </is>
      </c>
    </row>
    <row r="18">
      <c r="A18" s="2" t="inlineStr">
        <is>
          <t>1. 用管理员账号登录。在 Users 里建 4 个测试用户：</t>
        </is>
      </c>
    </row>
    <row r="19">
      <c r="A19" s="2" t="inlineStr">
        <is>
          <t xml:space="preserve">　　A：两条线都是 member（日常操作）　B：只有 Accounting member　C：Accounting viewer　D：任意角色（用于停用测试）</t>
        </is>
      </c>
    </row>
    <row r="20">
      <c r="A20" s="2" t="inlineStr">
        <is>
          <t>2. 只用虚构的测试数据（如 "Test Client A Pty Ltd"），不要用真实客户。</t>
        </is>
      </c>
    </row>
    <row r="21">
      <c r="A21" s="2" t="inlineStr">
        <is>
          <t>3. 冲突、实时刷新、@ 通知需要两个浏览器同时登录（如 Chrome 普通窗口 + 无痕窗口）。</t>
        </is>
      </c>
    </row>
    <row r="22">
      <c r="A22" s="2" t="inlineStr">
        <is>
          <t>4. 日期类自动化每小时自动跑一次；想立即看到结果，在服务器执行：</t>
        </is>
      </c>
    </row>
    <row r="23">
      <c r="A23" s="2" t="inlineStr">
        <is>
          <t xml:space="preserve">　　docker compose -f deploy/docker-compose.yml exec worker python -m app.cli run-job automations.date_rules</t>
        </is>
      </c>
    </row>
    <row r="24">
      <c r="A24" s="2" t="inlineStr">
        <is>
          <t>5. 数据迁移用 D:\Projects\Workflow System\csv sample 里的两个导出文件。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模块</t>
        </is>
      </c>
      <c r="B1" s="4" t="inlineStr">
        <is>
          <t>用例数</t>
        </is>
      </c>
      <c r="C1" s="4" t="inlineStr">
        <is>
          <t>P0</t>
        </is>
      </c>
      <c r="D1" s="4" t="inlineStr">
        <is>
          <t>已测</t>
        </is>
      </c>
      <c r="E1" s="4" t="inlineStr">
        <is>
          <t>通过</t>
        </is>
      </c>
      <c r="F1" s="4" t="inlineStr">
        <is>
          <t>不通过</t>
        </is>
      </c>
      <c r="G1" s="4" t="inlineStr">
        <is>
          <t>阻塞</t>
        </is>
      </c>
      <c r="H1" s="4" t="inlineStr">
        <is>
          <t>跳过</t>
        </is>
      </c>
      <c r="I1" s="4" t="inlineStr">
        <is>
          <t>未测</t>
        </is>
      </c>
      <c r="J1" s="4" t="inlineStr">
        <is>
          <t>通过率（已测）</t>
        </is>
      </c>
    </row>
    <row r="2">
      <c r="A2" s="5" t="inlineStr">
        <is>
          <t>登录与权限</t>
        </is>
      </c>
      <c r="B2" s="6">
        <f>COUNTIF(测试用例!$B$2:$B$153,$A2)</f>
        <v/>
      </c>
      <c r="C2" s="6">
        <f>COUNTIFS(测试用例!$B$2:$B$153,$A2,测试用例!$D$2:$D$153,"P0")</f>
        <v/>
      </c>
      <c r="D2" s="6">
        <f>E2+F2+G2+H2</f>
        <v/>
      </c>
      <c r="E2" s="6">
        <f>COUNTIFS(测试用例!$B$2:$B$153,$A2,测试用例!$J$2:$J$153,"通过")</f>
        <v/>
      </c>
      <c r="F2" s="6">
        <f>COUNTIFS(测试用例!$B$2:$B$153,$A2,测试用例!$J$2:$J$153,"不通过")</f>
        <v/>
      </c>
      <c r="G2" s="6">
        <f>COUNTIFS(测试用例!$B$2:$B$153,$A2,测试用例!$J$2:$J$153,"阻塞")</f>
        <v/>
      </c>
      <c r="H2" s="6">
        <f>COUNTIFS(测试用例!$B$2:$B$153,$A2,测试用例!$J$2:$J$153,"跳过")</f>
        <v/>
      </c>
      <c r="I2" s="6">
        <f>B2-D2</f>
        <v/>
      </c>
      <c r="J2" s="7">
        <f>IF(D2-H2=0,"-",E2/(D2-H2))</f>
        <v/>
      </c>
    </row>
    <row r="3">
      <c r="A3" s="5" t="inlineStr">
        <is>
          <t>Home 与导航</t>
        </is>
      </c>
      <c r="B3" s="6">
        <f>COUNTIF(测试用例!$B$2:$B$153,$A3)</f>
        <v/>
      </c>
      <c r="C3" s="6">
        <f>COUNTIFS(测试用例!$B$2:$B$153,$A3,测试用例!$D$2:$D$153,"P0")</f>
        <v/>
      </c>
      <c r="D3" s="6">
        <f>E3+F3+G3+H3</f>
        <v/>
      </c>
      <c r="E3" s="6">
        <f>COUNTIFS(测试用例!$B$2:$B$153,$A3,测试用例!$J$2:$J$153,"通过")</f>
        <v/>
      </c>
      <c r="F3" s="6">
        <f>COUNTIFS(测试用例!$B$2:$B$153,$A3,测试用例!$J$2:$J$153,"不通过")</f>
        <v/>
      </c>
      <c r="G3" s="6">
        <f>COUNTIFS(测试用例!$B$2:$B$153,$A3,测试用例!$J$2:$J$153,"阻塞")</f>
        <v/>
      </c>
      <c r="H3" s="6">
        <f>COUNTIFS(测试用例!$B$2:$B$153,$A3,测试用例!$J$2:$J$153,"跳过")</f>
        <v/>
      </c>
      <c r="I3" s="6">
        <f>B3-D3</f>
        <v/>
      </c>
      <c r="J3" s="7">
        <f>IF(D3-H3=0,"-",E3/(D3-H3))</f>
        <v/>
      </c>
    </row>
    <row r="4">
      <c r="A4" s="5" t="inlineStr">
        <is>
          <t>客户 Clients</t>
        </is>
      </c>
      <c r="B4" s="6">
        <f>COUNTIF(测试用例!$B$2:$B$153,$A4)</f>
        <v/>
      </c>
      <c r="C4" s="6">
        <f>COUNTIFS(测试用例!$B$2:$B$153,$A4,测试用例!$D$2:$D$153,"P0")</f>
        <v/>
      </c>
      <c r="D4" s="6">
        <f>E4+F4+G4+H4</f>
        <v/>
      </c>
      <c r="E4" s="6">
        <f>COUNTIFS(测试用例!$B$2:$B$153,$A4,测试用例!$J$2:$J$153,"通过")</f>
        <v/>
      </c>
      <c r="F4" s="6">
        <f>COUNTIFS(测试用例!$B$2:$B$153,$A4,测试用例!$J$2:$J$153,"不通过")</f>
        <v/>
      </c>
      <c r="G4" s="6">
        <f>COUNTIFS(测试用例!$B$2:$B$153,$A4,测试用例!$J$2:$J$153,"阻塞")</f>
        <v/>
      </c>
      <c r="H4" s="6">
        <f>COUNTIFS(测试用例!$B$2:$B$153,$A4,测试用例!$J$2:$J$153,"跳过")</f>
        <v/>
      </c>
      <c r="I4" s="6">
        <f>B4-D4</f>
        <v/>
      </c>
      <c r="J4" s="7">
        <f>IF(D4-H4=0,"-",E4/(D4-H4))</f>
        <v/>
      </c>
    </row>
    <row r="5">
      <c r="A5" s="5" t="inlineStr">
        <is>
          <t>Accounting 看板</t>
        </is>
      </c>
      <c r="B5" s="6">
        <f>COUNTIF(测试用例!$B$2:$B$153,$A5)</f>
        <v/>
      </c>
      <c r="C5" s="6">
        <f>COUNTIFS(测试用例!$B$2:$B$153,$A5,测试用例!$D$2:$D$153,"P0")</f>
        <v/>
      </c>
      <c r="D5" s="6">
        <f>E5+F5+G5+H5</f>
        <v/>
      </c>
      <c r="E5" s="6">
        <f>COUNTIFS(测试用例!$B$2:$B$153,$A5,测试用例!$J$2:$J$153,"通过")</f>
        <v/>
      </c>
      <c r="F5" s="6">
        <f>COUNTIFS(测试用例!$B$2:$B$153,$A5,测试用例!$J$2:$J$153,"不通过")</f>
        <v/>
      </c>
      <c r="G5" s="6">
        <f>COUNTIFS(测试用例!$B$2:$B$153,$A5,测试用例!$J$2:$J$153,"阻塞")</f>
        <v/>
      </c>
      <c r="H5" s="6">
        <f>COUNTIFS(测试用例!$B$2:$B$153,$A5,测试用例!$J$2:$J$153,"跳过")</f>
        <v/>
      </c>
      <c r="I5" s="6">
        <f>B5-D5</f>
        <v/>
      </c>
      <c r="J5" s="7">
        <f>IF(D5-H5=0,"-",E5/(D5-H5))</f>
        <v/>
      </c>
    </row>
    <row r="6">
      <c r="A6" s="5" t="inlineStr">
        <is>
          <t>Grants 看板</t>
        </is>
      </c>
      <c r="B6" s="6">
        <f>COUNTIF(测试用例!$B$2:$B$153,$A6)</f>
        <v/>
      </c>
      <c r="C6" s="6">
        <f>COUNTIFS(测试用例!$B$2:$B$153,$A6,测试用例!$D$2:$D$153,"P0")</f>
        <v/>
      </c>
      <c r="D6" s="6">
        <f>E6+F6+G6+H6</f>
        <v/>
      </c>
      <c r="E6" s="6">
        <f>COUNTIFS(测试用例!$B$2:$B$153,$A6,测试用例!$J$2:$J$153,"通过")</f>
        <v/>
      </c>
      <c r="F6" s="6">
        <f>COUNTIFS(测试用例!$B$2:$B$153,$A6,测试用例!$J$2:$J$153,"不通过")</f>
        <v/>
      </c>
      <c r="G6" s="6">
        <f>COUNTIFS(测试用例!$B$2:$B$153,$A6,测试用例!$J$2:$J$153,"阻塞")</f>
        <v/>
      </c>
      <c r="H6" s="6">
        <f>COUNTIFS(测试用例!$B$2:$B$153,$A6,测试用例!$J$2:$J$153,"跳过")</f>
        <v/>
      </c>
      <c r="I6" s="6">
        <f>B6-D6</f>
        <v/>
      </c>
      <c r="J6" s="7">
        <f>IF(D6-H6=0,"-",E6/(D6-H6))</f>
        <v/>
      </c>
    </row>
    <row r="7">
      <c r="A7" s="5" t="inlineStr">
        <is>
          <t>看板表格（两条线通用）</t>
        </is>
      </c>
      <c r="B7" s="6">
        <f>COUNTIF(测试用例!$B$2:$B$153,$A7)</f>
        <v/>
      </c>
      <c r="C7" s="6">
        <f>COUNTIFS(测试用例!$B$2:$B$153,$A7,测试用例!$D$2:$D$153,"P0")</f>
        <v/>
      </c>
      <c r="D7" s="6">
        <f>E7+F7+G7+H7</f>
        <v/>
      </c>
      <c r="E7" s="6">
        <f>COUNTIFS(测试用例!$B$2:$B$153,$A7,测试用例!$J$2:$J$153,"通过")</f>
        <v/>
      </c>
      <c r="F7" s="6">
        <f>COUNTIFS(测试用例!$B$2:$B$153,$A7,测试用例!$J$2:$J$153,"不通过")</f>
        <v/>
      </c>
      <c r="G7" s="6">
        <f>COUNTIFS(测试用例!$B$2:$B$153,$A7,测试用例!$J$2:$J$153,"阻塞")</f>
        <v/>
      </c>
      <c r="H7" s="6">
        <f>COUNTIFS(测试用例!$B$2:$B$153,$A7,测试用例!$J$2:$J$153,"跳过")</f>
        <v/>
      </c>
      <c r="I7" s="6">
        <f>B7-D7</f>
        <v/>
      </c>
      <c r="J7" s="7">
        <f>IF(D7-H7=0,"-",E7/(D7-H7))</f>
        <v/>
      </c>
    </row>
    <row r="8">
      <c r="A8" s="5" t="inlineStr">
        <is>
          <t>新建项目</t>
        </is>
      </c>
      <c r="B8" s="6">
        <f>COUNTIF(测试用例!$B$2:$B$153,$A8)</f>
        <v/>
      </c>
      <c r="C8" s="6">
        <f>COUNTIFS(测试用例!$B$2:$B$153,$A8,测试用例!$D$2:$D$153,"P0")</f>
        <v/>
      </c>
      <c r="D8" s="6">
        <f>E8+F8+G8+H8</f>
        <v/>
      </c>
      <c r="E8" s="6">
        <f>COUNTIFS(测试用例!$B$2:$B$153,$A8,测试用例!$J$2:$J$153,"通过")</f>
        <v/>
      </c>
      <c r="F8" s="6">
        <f>COUNTIFS(测试用例!$B$2:$B$153,$A8,测试用例!$J$2:$J$153,"不通过")</f>
        <v/>
      </c>
      <c r="G8" s="6">
        <f>COUNTIFS(测试用例!$B$2:$B$153,$A8,测试用例!$J$2:$J$153,"阻塞")</f>
        <v/>
      </c>
      <c r="H8" s="6">
        <f>COUNTIFS(测试用例!$B$2:$B$153,$A8,测试用例!$J$2:$J$153,"跳过")</f>
        <v/>
      </c>
      <c r="I8" s="6">
        <f>B8-D8</f>
        <v/>
      </c>
      <c r="J8" s="7">
        <f>IF(D8-H8=0,"-",E8/(D8-H8))</f>
        <v/>
      </c>
    </row>
    <row r="9">
      <c r="A9" s="5" t="inlineStr">
        <is>
          <t>Roll over</t>
        </is>
      </c>
      <c r="B9" s="6">
        <f>COUNTIF(测试用例!$B$2:$B$153,$A9)</f>
        <v/>
      </c>
      <c r="C9" s="6">
        <f>COUNTIFS(测试用例!$B$2:$B$153,$A9,测试用例!$D$2:$D$153,"P0")</f>
        <v/>
      </c>
      <c r="D9" s="6">
        <f>E9+F9+G9+H9</f>
        <v/>
      </c>
      <c r="E9" s="6">
        <f>COUNTIFS(测试用例!$B$2:$B$153,$A9,测试用例!$J$2:$J$153,"通过")</f>
        <v/>
      </c>
      <c r="F9" s="6">
        <f>COUNTIFS(测试用例!$B$2:$B$153,$A9,测试用例!$J$2:$J$153,"不通过")</f>
        <v/>
      </c>
      <c r="G9" s="6">
        <f>COUNTIFS(测试用例!$B$2:$B$153,$A9,测试用例!$J$2:$J$153,"阻塞")</f>
        <v/>
      </c>
      <c r="H9" s="6">
        <f>COUNTIFS(测试用例!$B$2:$B$153,$A9,测试用例!$J$2:$J$153,"跳过")</f>
        <v/>
      </c>
      <c r="I9" s="6">
        <f>B9-D9</f>
        <v/>
      </c>
      <c r="J9" s="7">
        <f>IF(D9-H9=0,"-",E9/(D9-H9))</f>
        <v/>
      </c>
    </row>
    <row r="10">
      <c r="A10" s="5" t="inlineStr">
        <is>
          <t>归档、恢复与删除</t>
        </is>
      </c>
      <c r="B10" s="6">
        <f>COUNTIF(测试用例!$B$2:$B$153,$A10)</f>
        <v/>
      </c>
      <c r="C10" s="6">
        <f>COUNTIFS(测试用例!$B$2:$B$153,$A10,测试用例!$D$2:$D$153,"P0")</f>
        <v/>
      </c>
      <c r="D10" s="6">
        <f>E10+F10+G10+H10</f>
        <v/>
      </c>
      <c r="E10" s="6">
        <f>COUNTIFS(测试用例!$B$2:$B$153,$A10,测试用例!$J$2:$J$153,"通过")</f>
        <v/>
      </c>
      <c r="F10" s="6">
        <f>COUNTIFS(测试用例!$B$2:$B$153,$A10,测试用例!$J$2:$J$153,"不通过")</f>
        <v/>
      </c>
      <c r="G10" s="6">
        <f>COUNTIFS(测试用例!$B$2:$B$153,$A10,测试用例!$J$2:$J$153,"阻塞")</f>
        <v/>
      </c>
      <c r="H10" s="6">
        <f>COUNTIFS(测试用例!$B$2:$B$153,$A10,测试用例!$J$2:$J$153,"跳过")</f>
        <v/>
      </c>
      <c r="I10" s="6">
        <f>B10-D10</f>
        <v/>
      </c>
      <c r="J10" s="7">
        <f>IF(D10-H10=0,"-",E10/(D10-H10))</f>
        <v/>
      </c>
    </row>
    <row r="11">
      <c r="A11" s="5" t="inlineStr">
        <is>
          <t>任务</t>
        </is>
      </c>
      <c r="B11" s="6">
        <f>COUNTIF(测试用例!$B$2:$B$153,$A11)</f>
        <v/>
      </c>
      <c r="C11" s="6">
        <f>COUNTIFS(测试用例!$B$2:$B$153,$A11,测试用例!$D$2:$D$153,"P0")</f>
        <v/>
      </c>
      <c r="D11" s="6">
        <f>E11+F11+G11+H11</f>
        <v/>
      </c>
      <c r="E11" s="6">
        <f>COUNTIFS(测试用例!$B$2:$B$153,$A11,测试用例!$J$2:$J$153,"通过")</f>
        <v/>
      </c>
      <c r="F11" s="6">
        <f>COUNTIFS(测试用例!$B$2:$B$153,$A11,测试用例!$J$2:$J$153,"不通过")</f>
        <v/>
      </c>
      <c r="G11" s="6">
        <f>COUNTIFS(测试用例!$B$2:$B$153,$A11,测试用例!$J$2:$J$153,"阻塞")</f>
        <v/>
      </c>
      <c r="H11" s="6">
        <f>COUNTIFS(测试用例!$B$2:$B$153,$A11,测试用例!$J$2:$J$153,"跳过")</f>
        <v/>
      </c>
      <c r="I11" s="6">
        <f>B11-D11</f>
        <v/>
      </c>
      <c r="J11" s="7">
        <f>IF(D11-H11=0,"-",E11/(D11-H11))</f>
        <v/>
      </c>
    </row>
    <row r="12">
      <c r="A12" s="5" t="inlineStr">
        <is>
          <t>看板设置与配置</t>
        </is>
      </c>
      <c r="B12" s="6">
        <f>COUNTIF(测试用例!$B$2:$B$153,$A12)</f>
        <v/>
      </c>
      <c r="C12" s="6">
        <f>COUNTIFS(测试用例!$B$2:$B$153,$A12,测试用例!$D$2:$D$153,"P0")</f>
        <v/>
      </c>
      <c r="D12" s="6">
        <f>E12+F12+G12+H12</f>
        <v/>
      </c>
      <c r="E12" s="6">
        <f>COUNTIFS(测试用例!$B$2:$B$153,$A12,测试用例!$J$2:$J$153,"通过")</f>
        <v/>
      </c>
      <c r="F12" s="6">
        <f>COUNTIFS(测试用例!$B$2:$B$153,$A12,测试用例!$J$2:$J$153,"不通过")</f>
        <v/>
      </c>
      <c r="G12" s="6">
        <f>COUNTIFS(测试用例!$B$2:$B$153,$A12,测试用例!$J$2:$J$153,"阻塞")</f>
        <v/>
      </c>
      <c r="H12" s="6">
        <f>COUNTIFS(测试用例!$B$2:$B$153,$A12,测试用例!$J$2:$J$153,"跳过")</f>
        <v/>
      </c>
      <c r="I12" s="6">
        <f>B12-D12</f>
        <v/>
      </c>
      <c r="J12" s="7">
        <f>IF(D12-H12=0,"-",E12/(D12-H12))</f>
        <v/>
      </c>
    </row>
    <row r="13">
      <c r="A13" s="5" t="inlineStr">
        <is>
          <t>自动化</t>
        </is>
      </c>
      <c r="B13" s="6">
        <f>COUNTIF(测试用例!$B$2:$B$153,$A13)</f>
        <v/>
      </c>
      <c r="C13" s="6">
        <f>COUNTIFS(测试用例!$B$2:$B$153,$A13,测试用例!$D$2:$D$153,"P0")</f>
        <v/>
      </c>
      <c r="D13" s="6">
        <f>E13+F13+G13+H13</f>
        <v/>
      </c>
      <c r="E13" s="6">
        <f>COUNTIFS(测试用例!$B$2:$B$153,$A13,测试用例!$J$2:$J$153,"通过")</f>
        <v/>
      </c>
      <c r="F13" s="6">
        <f>COUNTIFS(测试用例!$B$2:$B$153,$A13,测试用例!$J$2:$J$153,"不通过")</f>
        <v/>
      </c>
      <c r="G13" s="6">
        <f>COUNTIFS(测试用例!$B$2:$B$153,$A13,测试用例!$J$2:$J$153,"阻塞")</f>
        <v/>
      </c>
      <c r="H13" s="6">
        <f>COUNTIFS(测试用例!$B$2:$B$153,$A13,测试用例!$J$2:$J$153,"跳过")</f>
        <v/>
      </c>
      <c r="I13" s="6">
        <f>B13-D13</f>
        <v/>
      </c>
      <c r="J13" s="7">
        <f>IF(D13-H13=0,"-",E13/(D13-H13))</f>
        <v/>
      </c>
    </row>
    <row r="14">
      <c r="A14" s="5" t="inlineStr">
        <is>
          <t>通知与 Updates</t>
        </is>
      </c>
      <c r="B14" s="6">
        <f>COUNTIF(测试用例!$B$2:$B$153,$A14)</f>
        <v/>
      </c>
      <c r="C14" s="6">
        <f>COUNTIFS(测试用例!$B$2:$B$153,$A14,测试用例!$D$2:$D$153,"P0")</f>
        <v/>
      </c>
      <c r="D14" s="6">
        <f>E14+F14+G14+H14</f>
        <v/>
      </c>
      <c r="E14" s="6">
        <f>COUNTIFS(测试用例!$B$2:$B$153,$A14,测试用例!$J$2:$J$153,"通过")</f>
        <v/>
      </c>
      <c r="F14" s="6">
        <f>COUNTIFS(测试用例!$B$2:$B$153,$A14,测试用例!$J$2:$J$153,"不通过")</f>
        <v/>
      </c>
      <c r="G14" s="6">
        <f>COUNTIFS(测试用例!$B$2:$B$153,$A14,测试用例!$J$2:$J$153,"阻塞")</f>
        <v/>
      </c>
      <c r="H14" s="6">
        <f>COUNTIFS(测试用例!$B$2:$B$153,$A14,测试用例!$J$2:$J$153,"跳过")</f>
        <v/>
      </c>
      <c r="I14" s="6">
        <f>B14-D14</f>
        <v/>
      </c>
      <c r="J14" s="7">
        <f>IF(D14-H14=0,"-",E14/(D14-H14))</f>
        <v/>
      </c>
    </row>
    <row r="15">
      <c r="A15" s="5" t="inlineStr">
        <is>
          <t>活动记录与撤销</t>
        </is>
      </c>
      <c r="B15" s="6">
        <f>COUNTIF(测试用例!$B$2:$B$153,$A15)</f>
        <v/>
      </c>
      <c r="C15" s="6">
        <f>COUNTIFS(测试用例!$B$2:$B$153,$A15,测试用例!$D$2:$D$153,"P0")</f>
        <v/>
      </c>
      <c r="D15" s="6">
        <f>E15+F15+G15+H15</f>
        <v/>
      </c>
      <c r="E15" s="6">
        <f>COUNTIFS(测试用例!$B$2:$B$153,$A15,测试用例!$J$2:$J$153,"通过")</f>
        <v/>
      </c>
      <c r="F15" s="6">
        <f>COUNTIFS(测试用例!$B$2:$B$153,$A15,测试用例!$J$2:$J$153,"不通过")</f>
        <v/>
      </c>
      <c r="G15" s="6">
        <f>COUNTIFS(测试用例!$B$2:$B$153,$A15,测试用例!$J$2:$J$153,"阻塞")</f>
        <v/>
      </c>
      <c r="H15" s="6">
        <f>COUNTIFS(测试用例!$B$2:$B$153,$A15,测试用例!$J$2:$J$153,"跳过")</f>
        <v/>
      </c>
      <c r="I15" s="6">
        <f>B15-D15</f>
        <v/>
      </c>
      <c r="J15" s="7">
        <f>IF(D15-H15=0,"-",E15/(D15-H15))</f>
        <v/>
      </c>
    </row>
    <row r="16">
      <c r="A16" s="5" t="inlineStr">
        <is>
          <t>用户与个人设置</t>
        </is>
      </c>
      <c r="B16" s="6">
        <f>COUNTIF(测试用例!$B$2:$B$153,$A16)</f>
        <v/>
      </c>
      <c r="C16" s="6">
        <f>COUNTIFS(测试用例!$B$2:$B$153,$A16,测试用例!$D$2:$D$153,"P0")</f>
        <v/>
      </c>
      <c r="D16" s="6">
        <f>E16+F16+G16+H16</f>
        <v/>
      </c>
      <c r="E16" s="6">
        <f>COUNTIFS(测试用例!$B$2:$B$153,$A16,测试用例!$J$2:$J$153,"通过")</f>
        <v/>
      </c>
      <c r="F16" s="6">
        <f>COUNTIFS(测试用例!$B$2:$B$153,$A16,测试用例!$J$2:$J$153,"不通过")</f>
        <v/>
      </c>
      <c r="G16" s="6">
        <f>COUNTIFS(测试用例!$B$2:$B$153,$A16,测试用例!$J$2:$J$153,"阻塞")</f>
        <v/>
      </c>
      <c r="H16" s="6">
        <f>COUNTIFS(测试用例!$B$2:$B$153,$A16,测试用例!$J$2:$J$153,"跳过")</f>
        <v/>
      </c>
      <c r="I16" s="6">
        <f>B16-D16</f>
        <v/>
      </c>
      <c r="J16" s="7">
        <f>IF(D16-H16=0,"-",E16/(D16-H16))</f>
        <v/>
      </c>
    </row>
    <row r="17">
      <c r="A17" s="5" t="inlineStr">
        <is>
          <t>系统维护</t>
        </is>
      </c>
      <c r="B17" s="6">
        <f>COUNTIF(测试用例!$B$2:$B$153,$A17)</f>
        <v/>
      </c>
      <c r="C17" s="6">
        <f>COUNTIFS(测试用例!$B$2:$B$153,$A17,测试用例!$D$2:$D$153,"P0")</f>
        <v/>
      </c>
      <c r="D17" s="6">
        <f>E17+F17+G17+H17</f>
        <v/>
      </c>
      <c r="E17" s="6">
        <f>COUNTIFS(测试用例!$B$2:$B$153,$A17,测试用例!$J$2:$J$153,"通过")</f>
        <v/>
      </c>
      <c r="F17" s="6">
        <f>COUNTIFS(测试用例!$B$2:$B$153,$A17,测试用例!$J$2:$J$153,"不通过")</f>
        <v/>
      </c>
      <c r="G17" s="6">
        <f>COUNTIFS(测试用例!$B$2:$B$153,$A17,测试用例!$J$2:$J$153,"阻塞")</f>
        <v/>
      </c>
      <c r="H17" s="6">
        <f>COUNTIFS(测试用例!$B$2:$B$153,$A17,测试用例!$J$2:$J$153,"跳过")</f>
        <v/>
      </c>
      <c r="I17" s="6">
        <f>B17-D17</f>
        <v/>
      </c>
      <c r="J17" s="7">
        <f>IF(D17-H17=0,"-",E17/(D17-H17))</f>
        <v/>
      </c>
    </row>
    <row r="18">
      <c r="A18" s="5" t="inlineStr">
        <is>
          <t>数据迁移</t>
        </is>
      </c>
      <c r="B18" s="6">
        <f>COUNTIF(测试用例!$B$2:$B$153,$A18)</f>
        <v/>
      </c>
      <c r="C18" s="6">
        <f>COUNTIFS(测试用例!$B$2:$B$153,$A18,测试用例!$D$2:$D$153,"P0")</f>
        <v/>
      </c>
      <c r="D18" s="6">
        <f>E18+F18+G18+H18</f>
        <v/>
      </c>
      <c r="E18" s="6">
        <f>COUNTIFS(测试用例!$B$2:$B$153,$A18,测试用例!$J$2:$J$153,"通过")</f>
        <v/>
      </c>
      <c r="F18" s="6">
        <f>COUNTIFS(测试用例!$B$2:$B$153,$A18,测试用例!$J$2:$J$153,"不通过")</f>
        <v/>
      </c>
      <c r="G18" s="6">
        <f>COUNTIFS(测试用例!$B$2:$B$153,$A18,测试用例!$J$2:$J$153,"阻塞")</f>
        <v/>
      </c>
      <c r="H18" s="6">
        <f>COUNTIFS(测试用例!$B$2:$B$153,$A18,测试用例!$J$2:$J$153,"跳过")</f>
        <v/>
      </c>
      <c r="I18" s="6">
        <f>B18-D18</f>
        <v/>
      </c>
      <c r="J18" s="7">
        <f>IF(D18-H18=0,"-",E18/(D18-H18))</f>
        <v/>
      </c>
    </row>
    <row r="19">
      <c r="A19" s="8" t="inlineStr">
        <is>
          <t>合计</t>
        </is>
      </c>
      <c r="B19" s="9">
        <f>SUM(B2:B18)</f>
        <v/>
      </c>
      <c r="C19" s="9">
        <f>SUM(C2:C18)</f>
        <v/>
      </c>
      <c r="D19" s="9">
        <f>SUM(D2:D18)</f>
        <v/>
      </c>
      <c r="E19" s="9">
        <f>SUM(E2:E18)</f>
        <v/>
      </c>
      <c r="F19" s="9">
        <f>SUM(F2:F18)</f>
        <v/>
      </c>
      <c r="G19" s="9">
        <f>SUM(G2:G18)</f>
        <v/>
      </c>
      <c r="H19" s="9">
        <f>SUM(H2:H18)</f>
        <v/>
      </c>
      <c r="I19" s="9">
        <f>SUM(I2:I18)</f>
        <v/>
      </c>
      <c r="J19" s="10">
        <f>IF(D19-H19=0,"-",E19/(D19-H19))</f>
        <v/>
      </c>
    </row>
    <row r="21">
      <c r="A21" s="11" t="inlineStr">
        <is>
          <t>P0 未通过（不通过 + 阻塞）</t>
        </is>
      </c>
      <c r="B21">
        <f>COUNTIFS(测试用例!$D$2:$D$153,"P0",测试用例!$J$2:$J$153,"不通过")+COUNTIFS(测试用例!$D$2:$D$153,"P0",测试用例!$J$2:$J$153,"阻塞")</f>
        <v/>
      </c>
    </row>
    <row r="22">
      <c r="A22" s="12" t="inlineStr">
        <is>
          <t>上线条件：P0 全部通过；"待确认"项都有结论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7" customWidth="1" min="4" max="4"/>
    <col width="28" customWidth="1" min="5" max="5"/>
    <col width="44" customWidth="1" min="6" max="6"/>
    <col width="44" customWidth="1" min="7" max="7"/>
    <col width="34" customWidth="1" min="8" max="8"/>
    <col width="9" customWidth="1" min="9" max="9"/>
    <col width="10" customWidth="1" min="10" max="10"/>
    <col width="11" customWidth="1" min="11" max="11"/>
    <col width="9" customWidth="1" min="12" max="12"/>
    <col width="32" customWidth="1" min="13" max="13"/>
  </cols>
  <sheetData>
    <row r="1">
      <c r="A1" s="4" t="inlineStr">
        <is>
          <t>编号</t>
        </is>
      </c>
      <c r="B1" s="4" t="inlineStr">
        <is>
          <t>模块</t>
        </is>
      </c>
      <c r="C1" s="4" t="inlineStr">
        <is>
          <t>功能点</t>
        </is>
      </c>
      <c r="D1" s="4" t="inlineStr">
        <is>
          <t>优先级</t>
        </is>
      </c>
      <c r="E1" s="4" t="inlineStr">
        <is>
          <t>前置条件</t>
        </is>
      </c>
      <c r="F1" s="4" t="inlineStr">
        <is>
          <t>操作步骤</t>
        </is>
      </c>
      <c r="G1" s="4" t="inlineStr">
        <is>
          <t>预期结果</t>
        </is>
      </c>
      <c r="H1" s="4" t="inlineStr">
        <is>
          <t>老系统要求（最低标准）</t>
        </is>
      </c>
      <c r="I1" s="4" t="inlineStr">
        <is>
          <t>对照</t>
        </is>
      </c>
      <c r="J1" s="4" t="inlineStr">
        <is>
          <t>测试结果</t>
        </is>
      </c>
      <c r="K1" s="4" t="inlineStr">
        <is>
          <t>测试日期</t>
        </is>
      </c>
      <c r="L1" s="4" t="inlineStr">
        <is>
          <t>测试人</t>
        </is>
      </c>
      <c r="M1" s="4" t="inlineStr">
        <is>
          <t>问题/备注</t>
        </is>
      </c>
    </row>
    <row r="2">
      <c r="A2" s="13" t="inlineStr">
        <is>
          <t>01-01</t>
        </is>
      </c>
      <c r="B2" s="14" t="inlineStr">
        <is>
          <t>登录与权限</t>
        </is>
      </c>
      <c r="C2" s="14" t="inlineStr">
        <is>
          <t>正常登录</t>
        </is>
      </c>
      <c r="D2" s="15" t="inlineStr">
        <is>
          <t>P0</t>
        </is>
      </c>
      <c r="E2" s="14" t="inlineStr">
        <is>
          <t>已有管理员账号</t>
        </is>
      </c>
      <c r="F2" s="14" t="inlineStr">
        <is>
          <t>1. 打开系统地址（如 http://localhost:8080）
2. 输入邮箱和密码，点登录</t>
        </is>
      </c>
      <c r="G2" s="14" t="inlineStr">
        <is>
          <t>进入 Home 页，左下角显示自己的名字</t>
        </is>
      </c>
      <c r="H2" s="14" t="inlineStr">
        <is>
          <t>§3 产品登录页登录</t>
        </is>
      </c>
      <c r="I2" s="13" t="inlineStr">
        <is>
          <t>同等</t>
        </is>
      </c>
      <c r="J2" s="13" t="n"/>
      <c r="K2" s="16" t="n"/>
      <c r="L2" s="13" t="n"/>
      <c r="M2" s="14" t="n"/>
    </row>
    <row r="3">
      <c r="A3" s="13" t="inlineStr">
        <is>
          <t>01-02</t>
        </is>
      </c>
      <c r="B3" s="14" t="inlineStr">
        <is>
          <t>登录与权限</t>
        </is>
      </c>
      <c r="C3" s="14" t="inlineStr">
        <is>
          <t>密码错误</t>
        </is>
      </c>
      <c r="D3" s="15" t="inlineStr">
        <is>
          <t>P0</t>
        </is>
      </c>
      <c r="E3" s="14" t="inlineStr">
        <is>
          <t>无</t>
        </is>
      </c>
      <c r="F3" s="14" t="inlineStr">
        <is>
          <t>1. 输入正确邮箱、错误密码，点登录</t>
        </is>
      </c>
      <c r="G3" s="14" t="inlineStr">
        <is>
          <t>提示登录失败，停留在登录页</t>
        </is>
      </c>
      <c r="H3" s="14" t="inlineStr">
        <is>
          <t>§3 产品登录页登录</t>
        </is>
      </c>
      <c r="I3" s="13" t="inlineStr">
        <is>
          <t>同等</t>
        </is>
      </c>
      <c r="J3" s="13" t="n"/>
      <c r="K3" s="16" t="n"/>
      <c r="L3" s="13" t="n"/>
      <c r="M3" s="14" t="n"/>
    </row>
    <row r="4">
      <c r="A4" s="13" t="inlineStr">
        <is>
          <t>01-03</t>
        </is>
      </c>
      <c r="B4" s="14" t="inlineStr">
        <is>
          <t>登录与权限</t>
        </is>
      </c>
      <c r="C4" s="14" t="inlineStr">
        <is>
          <t>连续失败锁定</t>
        </is>
      </c>
      <c r="D4" s="13" t="inlineStr">
        <is>
          <t>P2</t>
        </is>
      </c>
      <c r="E4" s="14" t="inlineStr">
        <is>
          <t>一个测试账号</t>
        </is>
      </c>
      <c r="F4" s="14" t="inlineStr">
        <is>
          <t>1. 用同一账号连续输错密码 9 次
2. 再输入正确密码</t>
        </is>
      </c>
      <c r="G4" s="14" t="inlineStr">
        <is>
          <t>第 8 次之后账号被锁 15 分钟，正确密码也暂时无法登录</t>
        </is>
      </c>
      <c r="H4" s="14" t="inlineStr">
        <is>
          <t>老系统无此要求</t>
        </is>
      </c>
      <c r="I4" s="17" t="inlineStr">
        <is>
          <t>新增</t>
        </is>
      </c>
      <c r="J4" s="13" t="n"/>
      <c r="K4" s="16" t="n"/>
      <c r="L4" s="13" t="n"/>
      <c r="M4" s="14" t="n"/>
    </row>
    <row r="5">
      <c r="A5" s="13" t="inlineStr">
        <is>
          <t>01-04</t>
        </is>
      </c>
      <c r="B5" s="14" t="inlineStr">
        <is>
          <t>登录与权限</t>
        </is>
      </c>
      <c r="C5" s="14" t="inlineStr">
        <is>
          <t>退出登录</t>
        </is>
      </c>
      <c r="D5" s="15" t="inlineStr">
        <is>
          <t>P0</t>
        </is>
      </c>
      <c r="E5" s="14" t="inlineStr">
        <is>
          <t>已登录</t>
        </is>
      </c>
      <c r="F5" s="14" t="inlineStr">
        <is>
          <t>1. 点左下角退出图标
2. 浏览器点后退，或直接访问 /home</t>
        </is>
      </c>
      <c r="G5" s="14" t="inlineStr">
        <is>
          <t>回到登录页；后退或直接访问都要求重新登录</t>
        </is>
      </c>
      <c r="H5" s="14" t="inlineStr">
        <is>
          <t>§3 退出</t>
        </is>
      </c>
      <c r="I5" s="13" t="inlineStr">
        <is>
          <t>同等</t>
        </is>
      </c>
      <c r="J5" s="13" t="n"/>
      <c r="K5" s="16" t="n"/>
      <c r="L5" s="13" t="n"/>
      <c r="M5" s="14" t="n"/>
    </row>
    <row r="6">
      <c r="A6" s="13" t="inlineStr">
        <is>
          <t>01-05</t>
        </is>
      </c>
      <c r="B6" s="14" t="inlineStr">
        <is>
          <t>登录与权限</t>
        </is>
      </c>
      <c r="C6" s="14" t="inlineStr">
        <is>
          <t>未登录访问受保护页面</t>
        </is>
      </c>
      <c r="D6" s="15" t="inlineStr">
        <is>
          <t>P0</t>
        </is>
      </c>
      <c r="E6" s="14" t="inlineStr">
        <is>
          <t>未登录</t>
        </is>
      </c>
      <c r="F6" s="14" t="inlineStr">
        <is>
          <t>1. 直接在地址栏打开 /clients 或某个看板地址</t>
        </is>
      </c>
      <c r="G6" s="14" t="inlineStr">
        <is>
          <t>被送回登录页；登录后回到刚才想去的页面</t>
        </is>
      </c>
      <c r="H6" s="14" t="inlineStr">
        <is>
          <t>§3 普通用户被送回 /smart</t>
        </is>
      </c>
      <c r="I6" s="13" t="inlineStr">
        <is>
          <t>同等</t>
        </is>
      </c>
      <c r="J6" s="13" t="n"/>
      <c r="K6" s="16" t="n"/>
      <c r="L6" s="13" t="n"/>
      <c r="M6" s="14" t="n"/>
    </row>
    <row r="7">
      <c r="A7" s="13" t="inlineStr">
        <is>
          <t>01-06</t>
        </is>
      </c>
      <c r="B7" s="14" t="inlineStr">
        <is>
          <t>登录与权限</t>
        </is>
      </c>
      <c r="C7" s="14" t="inlineStr">
        <is>
          <t>刷新保持登录</t>
        </is>
      </c>
      <c r="D7" s="13" t="inlineStr">
        <is>
          <t>P1</t>
        </is>
      </c>
      <c r="E7" s="14" t="inlineStr">
        <is>
          <t>已登录</t>
        </is>
      </c>
      <c r="F7" s="14" t="inlineStr">
        <is>
          <t>1. 在任意页面按 F5 刷新
2. 关闭标签页再打开系统</t>
        </is>
      </c>
      <c r="G7" s="14" t="inlineStr">
        <is>
          <t>仍然是登录状态，不需要重新输入密码</t>
        </is>
      </c>
      <c r="H7" s="14" t="inlineStr">
        <is>
          <t>隐含要求</t>
        </is>
      </c>
      <c r="I7" s="13" t="inlineStr">
        <is>
          <t>同等</t>
        </is>
      </c>
      <c r="J7" s="13" t="n"/>
      <c r="K7" s="16" t="n"/>
      <c r="L7" s="13" t="n"/>
      <c r="M7" s="14" t="n"/>
    </row>
    <row r="8">
      <c r="A8" s="13" t="inlineStr">
        <is>
          <t>01-07</t>
        </is>
      </c>
      <c r="B8" s="14" t="inlineStr">
        <is>
          <t>登录与权限</t>
        </is>
      </c>
      <c r="C8" s="14" t="inlineStr">
        <is>
          <t>忘记密码（管理员重置）</t>
        </is>
      </c>
      <c r="D8" s="13" t="inlineStr">
        <is>
          <t>P1</t>
        </is>
      </c>
      <c r="E8" s="14" t="inlineStr">
        <is>
          <t>管理员账号 + 一个普通用户 A</t>
        </is>
      </c>
      <c r="F8" s="14" t="inlineStr">
        <is>
          <t>1. A 在另一个浏览器保持登录
2. 管理员进 Users，给 A 设新密码
3. A 刷新页面
4. A 用新密码登录</t>
        </is>
      </c>
      <c r="G8" s="14" t="inlineStr">
        <is>
          <t>第 3 步 A 被登出（旧会话失效）；新密码可登录，旧密码不行</t>
        </is>
      </c>
      <c r="H8" s="14" t="inlineStr">
        <is>
          <t>§3 登录页有"忘记密码"自助流程</t>
        </is>
      </c>
      <c r="I8" s="18" t="inlineStr">
        <is>
          <t>差异</t>
        </is>
      </c>
      <c r="J8" s="13" t="n"/>
      <c r="K8" s="16" t="n"/>
      <c r="L8" s="13" t="n"/>
      <c r="M8" s="14" t="n"/>
    </row>
    <row r="9">
      <c r="A9" s="13" t="inlineStr">
        <is>
          <t>01-08</t>
        </is>
      </c>
      <c r="B9" s="14" t="inlineStr">
        <is>
          <t>登录与权限</t>
        </is>
      </c>
      <c r="C9" s="14" t="inlineStr">
        <is>
          <t>只开通一个产品线</t>
        </is>
      </c>
      <c r="D9" s="15" t="inlineStr">
        <is>
          <t>P0</t>
        </is>
      </c>
      <c r="E9" s="14" t="inlineStr">
        <is>
          <t>用户 B：只给 Accounting 的 member 角色</t>
        </is>
      </c>
      <c r="F9" s="14" t="inlineStr">
        <is>
          <t>1. 用 B 登录
2. 看顶部产品线切换
3. 手动把地址里的 /w/accounting/ 改成 /w/grants/</t>
        </is>
      </c>
      <c r="G9" s="14" t="inlineStr">
        <is>
          <t>B 只看到 Accounting；手动访问 Grants 看不到数据或被拒绝</t>
        </is>
      </c>
      <c r="H9" s="14" t="inlineStr">
        <is>
          <t>§3 只有 Smart Accounting User 才能进会计线，Grants 同理</t>
        </is>
      </c>
      <c r="I9" s="13" t="inlineStr">
        <is>
          <t>同等</t>
        </is>
      </c>
      <c r="J9" s="13" t="n"/>
      <c r="K9" s="16" t="n"/>
      <c r="L9" s="13" t="n"/>
      <c r="M9" s="14" t="n"/>
    </row>
    <row r="10">
      <c r="A10" s="13" t="inlineStr">
        <is>
          <t>01-09</t>
        </is>
      </c>
      <c r="B10" s="14" t="inlineStr">
        <is>
          <t>登录与权限</t>
        </is>
      </c>
      <c r="C10" s="14" t="inlineStr">
        <is>
          <t>列按产品线隔离</t>
        </is>
      </c>
      <c r="D10" s="15" t="inlineStr">
        <is>
          <t>P0</t>
        </is>
      </c>
      <c r="E10" s="14" t="inlineStr">
        <is>
          <t>无</t>
        </is>
      </c>
      <c r="F10" s="14" t="inlineStr">
        <is>
          <t>1. 打开 Accounting 任一看板，点 Columns 看可选列
2. 打开 Grants 任一看板，同样查看</t>
        </is>
      </c>
      <c r="G10" s="14" t="inlineStr">
        <is>
          <t>Accounting 看不到 Grant Type、AP Submit Date 等 Grants 列；Grants 看不到 Lodgement Due、Monthly Status 等会计列</t>
        </is>
      </c>
      <c r="H10" s="14" t="inlineStr">
        <is>
          <t>§3 看板上的列按模块过滤</t>
        </is>
      </c>
      <c r="I10" s="13" t="inlineStr">
        <is>
          <t>同等</t>
        </is>
      </c>
      <c r="J10" s="13" t="n"/>
      <c r="K10" s="16" t="n"/>
      <c r="L10" s="13" t="n"/>
      <c r="M10" s="14" t="n"/>
    </row>
    <row r="11">
      <c r="A11" s="13" t="inlineStr">
        <is>
          <t>01-10</t>
        </is>
      </c>
      <c r="B11" s="14" t="inlineStr">
        <is>
          <t>登录与权限</t>
        </is>
      </c>
      <c r="C11" s="14" t="inlineStr">
        <is>
          <t>viewer 只读</t>
        </is>
      </c>
      <c r="D11" s="13" t="inlineStr">
        <is>
          <t>P1</t>
        </is>
      </c>
      <c r="E11" s="14" t="inlineStr">
        <is>
          <t>用户 C：Accounting 的 viewer 角色</t>
        </is>
      </c>
      <c r="F11" s="14" t="inlineStr">
        <is>
          <t>1. 用 C 登录，打开会计看板
2. 双击单元格尝试修改
3. 找 New 按钮、勾选行</t>
        </is>
      </c>
      <c r="G11" s="14" t="inlineStr">
        <is>
          <t>能看不能改：单元格不可编辑，没有新建按钮，勾选后没有批量操作</t>
        </is>
      </c>
      <c r="H11" s="14" t="inlineStr">
        <is>
          <t>老系统按 Frappe 读写权限，没有专门的只读角色</t>
        </is>
      </c>
      <c r="I11" s="19" t="inlineStr">
        <is>
          <t>增强</t>
        </is>
      </c>
      <c r="J11" s="13" t="n"/>
      <c r="K11" s="16" t="n"/>
      <c r="L11" s="13" t="n"/>
      <c r="M11" s="14" t="n"/>
    </row>
    <row r="12">
      <c r="A12" s="13" t="inlineStr">
        <is>
          <t>01-11</t>
        </is>
      </c>
      <c r="B12" s="14" t="inlineStr">
        <is>
          <t>登录与权限</t>
        </is>
      </c>
      <c r="C12" s="14" t="inlineStr">
        <is>
          <t>member 与 manager 的区别</t>
        </is>
      </c>
      <c r="D12" s="13" t="inlineStr">
        <is>
          <t>P1</t>
        </is>
      </c>
      <c r="E12" s="14" t="inlineStr">
        <is>
          <t>用户 B（member）</t>
        </is>
      </c>
      <c r="F12" s="14" t="inlineStr">
        <is>
          <t>1. 用 B 勾选一行，看批量栏有没有 Delete
2. 打开 Automations 看能否新建规则
3. 保存视图时看能否选 Shared</t>
        </is>
      </c>
      <c r="G12" s="14" t="inlineStr">
        <is>
          <t>member 不能删除项目、不能管理自动化、不能建共享视图；manager 可以</t>
        </is>
      </c>
      <c r="H12" s="14" t="inlineStr">
        <is>
          <t>§13 管自动化、看板设置需要管理员类角色</t>
        </is>
      </c>
      <c r="I12" s="19" t="inlineStr">
        <is>
          <t>增强</t>
        </is>
      </c>
      <c r="J12" s="13" t="n"/>
      <c r="K12" s="16" t="n"/>
      <c r="L12" s="13" t="n"/>
      <c r="M12" s="14" t="n"/>
    </row>
    <row r="13">
      <c r="A13" s="13" t="inlineStr">
        <is>
          <t>01-12</t>
        </is>
      </c>
      <c r="B13" s="14" t="inlineStr">
        <is>
          <t>登录与权限</t>
        </is>
      </c>
      <c r="C13" s="14" t="inlineStr">
        <is>
          <t>管理页面只对管理员开放</t>
        </is>
      </c>
      <c r="D13" s="15" t="inlineStr">
        <is>
          <t>P0</t>
        </is>
      </c>
      <c r="E13" s="14" t="inlineStr">
        <is>
          <t>用户 B（非管理员）</t>
        </is>
      </c>
      <c r="F13" s="14" t="inlineStr">
        <is>
          <t>1. 用 B 登录看左侧导航
2. 直接访问 /users 和 /system</t>
        </is>
      </c>
      <c r="G13" s="14" t="inlineStr">
        <is>
          <t>导航里没有 Users、System health；直接访问看不到数据或被拒绝</t>
        </is>
      </c>
      <c r="H13" s="14" t="inlineStr">
        <is>
          <t>§13 管用户需要管理员</t>
        </is>
      </c>
      <c r="I13" s="13" t="inlineStr">
        <is>
          <t>同等</t>
        </is>
      </c>
      <c r="J13" s="13" t="n"/>
      <c r="K13" s="16" t="n"/>
      <c r="L13" s="13" t="n"/>
      <c r="M13" s="14" t="n"/>
    </row>
    <row r="14">
      <c r="A14" s="13" t="inlineStr">
        <is>
          <t>02-01</t>
        </is>
      </c>
      <c r="B14" s="14" t="inlineStr">
        <is>
          <t>Home 与导航</t>
        </is>
      </c>
      <c r="C14" s="14" t="inlineStr">
        <is>
          <t>我参与的项目</t>
        </is>
      </c>
      <c r="D14" s="15" t="inlineStr">
        <is>
          <t>P0</t>
        </is>
      </c>
      <c r="E14" s="14" t="inlineStr">
        <is>
          <t>用户 A 在两个项目里是 Preparer（一个会计、一个 Grants）</t>
        </is>
      </c>
      <c r="F14" s="14" t="inlineStr">
        <is>
          <t>1. 用 A 登录，看 Home</t>
        </is>
      </c>
      <c r="G14" s="14" t="inlineStr">
        <is>
          <t>两个项目都列出来，能看出属于哪条产品线、哪块看板</t>
        </is>
      </c>
      <c r="H14" s="14" t="inlineStr">
        <is>
          <t>§4 Home：当前用户参与的项目</t>
        </is>
      </c>
      <c r="I14" s="13" t="inlineStr">
        <is>
          <t>同等</t>
        </is>
      </c>
      <c r="J14" s="13" t="n"/>
      <c r="K14" s="16" t="n"/>
      <c r="L14" s="13" t="n"/>
      <c r="M14" s="14" t="n"/>
    </row>
    <row r="15">
      <c r="A15" s="13" t="inlineStr">
        <is>
          <t>02-02</t>
        </is>
      </c>
      <c r="B15" s="14" t="inlineStr">
        <is>
          <t>Home 与导航</t>
        </is>
      </c>
      <c r="C15" s="14" t="inlineStr">
        <is>
          <t>按状态计数</t>
        </is>
      </c>
      <c r="D15" s="15" t="inlineStr">
        <is>
          <t>P0</t>
        </is>
      </c>
      <c r="E15" s="14" t="inlineStr">
        <is>
          <t>同上</t>
        </is>
      </c>
      <c r="F15" s="14" t="inlineStr">
        <is>
          <t>1. 看 Home 的状态条/计数
2. 改其中一个项目的状态后回到 Home</t>
        </is>
      </c>
      <c r="G15" s="14" t="inlineStr">
        <is>
          <t>按状态显示数量，改状态后数字跟着变</t>
        </is>
      </c>
      <c r="H15" s="14" t="inlineStr">
        <is>
          <t>§4 Home：按状态的数量</t>
        </is>
      </c>
      <c r="I15" s="13" t="inlineStr">
        <is>
          <t>同等</t>
        </is>
      </c>
      <c r="J15" s="13" t="n"/>
      <c r="K15" s="16" t="n"/>
      <c r="L15" s="13" t="n"/>
      <c r="M15" s="14" t="n"/>
    </row>
    <row r="16">
      <c r="A16" s="13" t="inlineStr">
        <is>
          <t>02-03</t>
        </is>
      </c>
      <c r="B16" s="14" t="inlineStr">
        <is>
          <t>Home 与导航</t>
        </is>
      </c>
      <c r="C16" s="14" t="inlineStr">
        <is>
          <t>从状态点进项目列表</t>
        </is>
      </c>
      <c r="D16" s="13" t="inlineStr">
        <is>
          <t>P1</t>
        </is>
      </c>
      <c r="E16" s="14" t="inlineStr">
        <is>
          <t>同上</t>
        </is>
      </c>
      <c r="F16" s="14" t="inlineStr">
        <is>
          <t>1. 在 Home 点某个状态</t>
        </is>
      </c>
      <c r="G16" s="14" t="inlineStr">
        <is>
          <t>列出该状态下我参与的项目，可以点进去</t>
        </is>
      </c>
      <c r="H16" s="14" t="inlineStr">
        <is>
          <t>§4 status-projects 视图：从 Home 按状态点进去</t>
        </is>
      </c>
      <c r="I16" s="20" t="inlineStr">
        <is>
          <t>待确认</t>
        </is>
      </c>
      <c r="J16" s="13" t="n"/>
      <c r="K16" s="16" t="n"/>
      <c r="L16" s="13" t="n"/>
      <c r="M16" s="14" t="n"/>
    </row>
    <row r="17">
      <c r="A17" s="13" t="inlineStr">
        <is>
          <t>02-04</t>
        </is>
      </c>
      <c r="B17" s="14" t="inlineStr">
        <is>
          <t>Home 与导航</t>
        </is>
      </c>
      <c r="C17" s="14" t="inlineStr">
        <is>
          <t>30 天内到期</t>
        </is>
      </c>
      <c r="D17" s="13" t="inlineStr">
        <is>
          <t>P2</t>
        </is>
      </c>
      <c r="E17" s="14" t="inlineStr">
        <is>
          <t>一个项目 Lodgement Due 设为 10 天后，自己在团队里</t>
        </is>
      </c>
      <c r="F17" s="14" t="inlineStr">
        <is>
          <t>1. 看 Home</t>
        </is>
      </c>
      <c r="G17" s="14" t="inlineStr">
        <is>
          <t>该项目出现在"30 天内到期"里</t>
        </is>
      </c>
      <c r="H17" s="14" t="inlineStr">
        <is>
          <t>老系统没有</t>
        </is>
      </c>
      <c r="I17" s="17" t="inlineStr">
        <is>
          <t>新增</t>
        </is>
      </c>
      <c r="J17" s="13" t="n"/>
      <c r="K17" s="16" t="n"/>
      <c r="L17" s="13" t="n"/>
      <c r="M17" s="14" t="n"/>
    </row>
    <row r="18">
      <c r="A18" s="13" t="inlineStr">
        <is>
          <t>02-05</t>
        </is>
      </c>
      <c r="B18" s="14" t="inlineStr">
        <is>
          <t>Home 与导航</t>
        </is>
      </c>
      <c r="C18" s="14" t="inlineStr">
        <is>
          <t>侧边栏结构</t>
        </is>
      </c>
      <c r="D18" s="15" t="inlineStr">
        <is>
          <t>P0</t>
        </is>
      </c>
      <c r="E18" s="14" t="inlineStr">
        <is>
          <t>管理员登录</t>
        </is>
      </c>
      <c r="F18" s="14" t="inlineStr">
        <is>
          <t>1. 依次查看左侧导航</t>
        </is>
      </c>
      <c r="G18" s="14" t="inlineStr">
        <is>
          <t>有 Home、该产品线的看板列表、Archived、Automations、Automation logs、Workspace setup、Data migration、Clients、Activity、Users、System health、Settings（左下角名字）</t>
        </is>
      </c>
      <c r="H18" s="14" t="inlineStr">
        <is>
          <t>§4 Home、Report、Boards、Archived Projects、Clients、Users、Archived Clients、Automation Logs、Settings</t>
        </is>
      </c>
      <c r="I18" s="13" t="inlineStr">
        <is>
          <t>同等</t>
        </is>
      </c>
      <c r="J18" s="13" t="n"/>
      <c r="K18" s="16" t="n"/>
      <c r="L18" s="13" t="n"/>
      <c r="M18" s="14" t="n"/>
    </row>
    <row r="19">
      <c r="A19" s="13" t="inlineStr">
        <is>
          <t>02-06</t>
        </is>
      </c>
      <c r="B19" s="14" t="inlineStr">
        <is>
          <t>Home 与导航</t>
        </is>
      </c>
      <c r="C19" s="14" t="inlineStr">
        <is>
          <t>Report 页</t>
        </is>
      </c>
      <c r="D19" s="13" t="inlineStr">
        <is>
          <t>P2</t>
        </is>
      </c>
      <c r="E19" s="14" t="inlineStr">
        <is>
          <t>无</t>
        </is>
      </c>
      <c r="F19" s="14" t="inlineStr">
        <is>
          <t>1. 找 Report 入口</t>
        </is>
      </c>
      <c r="G19" s="14" t="inlineStr">
        <is>
          <t>新系统暂无 Report 页（已列入后续计划），记录即可</t>
        </is>
      </c>
      <c r="H19" s="14" t="inlineStr">
        <is>
          <t>§15 老系统 Report 也只是空页面</t>
        </is>
      </c>
      <c r="I19" s="13" t="inlineStr">
        <is>
          <t>不适用</t>
        </is>
      </c>
      <c r="J19" s="13" t="n"/>
      <c r="K19" s="16" t="n"/>
      <c r="L19" s="13" t="n"/>
      <c r="M19" s="14" t="n"/>
    </row>
    <row r="20">
      <c r="A20" s="13" t="inlineStr">
        <is>
          <t>02-07</t>
        </is>
      </c>
      <c r="B20" s="14" t="inlineStr">
        <is>
          <t>Home 与导航</t>
        </is>
      </c>
      <c r="C20" s="14" t="inlineStr">
        <is>
          <t>产品线切换</t>
        </is>
      </c>
      <c r="D20" s="15" t="inlineStr">
        <is>
          <t>P0</t>
        </is>
      </c>
      <c r="E20" s="14" t="inlineStr">
        <is>
          <t>管理员（两条线都有权限）</t>
        </is>
      </c>
      <c r="F20" s="14" t="inlineStr">
        <is>
          <t>1. 点顶部 Accounting / Grants 切换</t>
        </is>
      </c>
      <c r="G20" s="14" t="inlineStr">
        <is>
          <t>侧边栏看板列表跟着切换：Accounting 9 块，Grants FY 2024–FY 2027</t>
        </is>
      </c>
      <c r="H20" s="14" t="inlineStr">
        <is>
          <t>§2 两条产品线，入口分开</t>
        </is>
      </c>
      <c r="I20" s="13" t="inlineStr">
        <is>
          <t>同等</t>
        </is>
      </c>
      <c r="J20" s="13" t="n"/>
      <c r="K20" s="16" t="n"/>
      <c r="L20" s="13" t="n"/>
      <c r="M20" s="14" t="n"/>
    </row>
    <row r="21">
      <c r="A21" s="13" t="inlineStr">
        <is>
          <t>02-08</t>
        </is>
      </c>
      <c r="B21" s="14" t="inlineStr">
        <is>
          <t>Home 与导航</t>
        </is>
      </c>
      <c r="C21" s="14" t="inlineStr">
        <is>
          <t>界面语言</t>
        </is>
      </c>
      <c r="D21" s="13" t="inlineStr">
        <is>
          <t>P2</t>
        </is>
      </c>
      <c r="E21" s="14" t="inlineStr">
        <is>
          <t>无</t>
        </is>
      </c>
      <c r="F21" s="14" t="inlineStr">
        <is>
          <t>1. Settings 里把语言改成中文</t>
        </is>
      </c>
      <c r="G21" s="14" t="inlineStr">
        <is>
          <t>导航变成中文（其余页面暂时仍是英文，已知限制）</t>
        </is>
      </c>
      <c r="H21" s="14" t="inlineStr">
        <is>
          <t>老系统没有</t>
        </is>
      </c>
      <c r="I21" s="17" t="inlineStr">
        <is>
          <t>新增</t>
        </is>
      </c>
      <c r="J21" s="13" t="n"/>
      <c r="K21" s="16" t="n"/>
      <c r="L21" s="13" t="n"/>
      <c r="M21" s="14" t="n"/>
    </row>
    <row r="22">
      <c r="A22" s="13" t="inlineStr">
        <is>
          <t>03-01</t>
        </is>
      </c>
      <c r="B22" s="14" t="inlineStr">
        <is>
          <t>客户 Clients</t>
        </is>
      </c>
      <c r="C22" s="14" t="inlineStr">
        <is>
          <t>搜索客户</t>
        </is>
      </c>
      <c r="D22" s="15" t="inlineStr">
        <is>
          <t>P0</t>
        </is>
      </c>
      <c r="E22" s="14" t="inlineStr">
        <is>
          <t>已有若干客户</t>
        </is>
      </c>
      <c r="F22" s="14" t="inlineStr">
        <is>
          <t>1. 进 Clients
2. 输入客户名的一部分</t>
        </is>
      </c>
      <c r="G22" s="14" t="inlineStr">
        <is>
          <t>列表即时过滤出匹配的客户</t>
        </is>
      </c>
      <c r="H22" s="14" t="inlineStr">
        <is>
          <t>§5 搜索客户，看列表</t>
        </is>
      </c>
      <c r="I22" s="13" t="inlineStr">
        <is>
          <t>同等</t>
        </is>
      </c>
      <c r="J22" s="13" t="n"/>
      <c r="K22" s="16" t="n"/>
      <c r="L22" s="13" t="n"/>
      <c r="M22" s="14" t="n"/>
    </row>
    <row r="23">
      <c r="A23" s="13" t="inlineStr">
        <is>
          <t>03-02</t>
        </is>
      </c>
      <c r="B23" s="14" t="inlineStr">
        <is>
          <t>客户 Clients</t>
        </is>
      </c>
      <c r="C23" s="14" t="inlineStr">
        <is>
          <t>新建客户（带主实体）</t>
        </is>
      </c>
      <c r="D23" s="15" t="inlineStr">
        <is>
          <t>P0</t>
        </is>
      </c>
      <c r="E23" s="14" t="inlineStr">
        <is>
          <t>无</t>
        </is>
      </c>
      <c r="F23" s="14" t="inlineStr">
        <is>
          <t>1. Clients → New client
2. 填名称 "Test Client A Pty Ltd"、实体类型 Company、年结 June、ABN、负责合伙人
3. 保存</t>
        </is>
      </c>
      <c r="G23" s="14" t="inlineStr">
        <is>
          <t>客户创建成功；打开后能看到一个主实体，类型、年结、ABN 正确，合伙人正确</t>
        </is>
      </c>
      <c r="H23" s="14" t="inlineStr">
        <is>
          <t>§16 新建客户：名称必填；带实体时实体名、类型、年结必填；写主实体和合伙人</t>
        </is>
      </c>
      <c r="I23" s="13" t="inlineStr">
        <is>
          <t>同等</t>
        </is>
      </c>
      <c r="J23" s="13" t="n"/>
      <c r="K23" s="16" t="n"/>
      <c r="L23" s="13" t="n"/>
      <c r="M23" s="14" t="n"/>
    </row>
    <row r="24">
      <c r="A24" s="13" t="inlineStr">
        <is>
          <t>03-03</t>
        </is>
      </c>
      <c r="B24" s="14" t="inlineStr">
        <is>
          <t>客户 Clients</t>
        </is>
      </c>
      <c r="C24" s="14" t="inlineStr">
        <is>
          <t>客户名称必填</t>
        </is>
      </c>
      <c r="D24" s="15" t="inlineStr">
        <is>
          <t>P0</t>
        </is>
      </c>
      <c r="E24" s="14" t="inlineStr">
        <is>
          <t>无</t>
        </is>
      </c>
      <c r="F24" s="14" t="inlineStr">
        <is>
          <t>1. New client，名称留空直接保存</t>
        </is>
      </c>
      <c r="G24" s="14" t="inlineStr">
        <is>
          <t>不能保存，提示名称必填</t>
        </is>
      </c>
      <c r="H24" s="14" t="inlineStr">
        <is>
          <t>§16 客户名称必填</t>
        </is>
      </c>
      <c r="I24" s="13" t="inlineStr">
        <is>
          <t>同等</t>
        </is>
      </c>
      <c r="J24" s="13" t="n"/>
      <c r="K24" s="16" t="n"/>
      <c r="L24" s="13" t="n"/>
      <c r="M24" s="14" t="n"/>
    </row>
    <row r="25">
      <c r="A25" s="13" t="inlineStr">
        <is>
          <t>03-04</t>
        </is>
      </c>
      <c r="B25" s="14" t="inlineStr">
        <is>
          <t>客户 Clients</t>
        </is>
      </c>
      <c r="C25" s="14" t="inlineStr">
        <is>
          <t>重名检查</t>
        </is>
      </c>
      <c r="D25" s="15" t="inlineStr">
        <is>
          <t>P0</t>
        </is>
      </c>
      <c r="E25" s="14" t="inlineStr">
        <is>
          <t>已有客户 "Test Client A Pty Ltd"</t>
        </is>
      </c>
      <c r="F25" s="14" t="inlineStr">
        <is>
          <t>1. 再新建同名客户
2. 再试一个相似名称，如 "Test Client A"</t>
        </is>
      </c>
      <c r="G25" s="14" t="inlineStr">
        <is>
          <t>完全同名被拒绝；相似名称会提示可能重复，但允许继续</t>
        </is>
      </c>
      <c r="H25" s="14" t="inlineStr">
        <is>
          <t>§16 不能与已有客户重名</t>
        </is>
      </c>
      <c r="I25" s="19" t="inlineStr">
        <is>
          <t>增强</t>
        </is>
      </c>
      <c r="J25" s="13" t="n"/>
      <c r="K25" s="16" t="n"/>
      <c r="L25" s="13" t="n"/>
      <c r="M25" s="14" t="n"/>
    </row>
    <row r="26">
      <c r="A26" s="13" t="inlineStr">
        <is>
          <t>03-05</t>
        </is>
      </c>
      <c r="B26" s="14" t="inlineStr">
        <is>
          <t>客户 Clients</t>
        </is>
      </c>
      <c r="C26" s="14" t="inlineStr">
        <is>
          <t>编辑客户</t>
        </is>
      </c>
      <c r="D26" s="15" t="inlineStr">
        <is>
          <t>P0</t>
        </is>
      </c>
      <c r="E26" s="14" t="inlineStr">
        <is>
          <t>已有客户</t>
        </is>
      </c>
      <c r="F26" s="14" t="inlineStr">
        <is>
          <t>1. 打开客户 Details
2. 修改名称、实体类型、年结、负责合伙人
3. 保存后刷新</t>
        </is>
      </c>
      <c r="G26" s="14" t="inlineStr">
        <is>
          <t>修改都保存成功</t>
        </is>
      </c>
      <c r="H26" s="14" t="inlineStr">
        <is>
          <t>§5 编辑客户名称、实体类型、年结、负责合伙人</t>
        </is>
      </c>
      <c r="I26" s="13" t="inlineStr">
        <is>
          <t>同等</t>
        </is>
      </c>
      <c r="J26" s="13" t="n"/>
      <c r="K26" s="16" t="n"/>
      <c r="L26" s="13" t="n"/>
      <c r="M26" s="14" t="n"/>
    </row>
    <row r="27">
      <c r="A27" s="13" t="inlineStr">
        <is>
          <t>03-06</t>
        </is>
      </c>
      <c r="B27" s="14" t="inlineStr">
        <is>
          <t>客户 Clients</t>
        </is>
      </c>
      <c r="C27" s="14" t="inlineStr">
        <is>
          <t>多个实体</t>
        </is>
      </c>
      <c r="D27" s="13" t="inlineStr">
        <is>
          <t>P1</t>
        </is>
      </c>
      <c r="E27" s="14" t="inlineStr">
        <is>
          <t>已有客户</t>
        </is>
      </c>
      <c r="F27" s="14" t="inlineStr">
        <is>
          <t>1. 在客户下再加一个实体（如 Trust），填 ABN、ACN、年结
2. 把新实体设为主实体</t>
        </is>
      </c>
      <c r="G27" s="14" t="inlineStr">
        <is>
          <t>两个实体都在；同一时间只有一个主实体</t>
        </is>
      </c>
      <c r="H27" s="14" t="inlineStr">
        <is>
          <t>§5 Customer Entity 子表：类型、ABN、年结、是否主实体</t>
        </is>
      </c>
      <c r="I27" s="19" t="inlineStr">
        <is>
          <t>增强</t>
        </is>
      </c>
      <c r="J27" s="13" t="n"/>
      <c r="K27" s="16" t="n"/>
      <c r="L27" s="13" t="n"/>
      <c r="M27" s="14" t="n"/>
    </row>
    <row r="28">
      <c r="A28" s="13" t="inlineStr">
        <is>
          <t>03-07</t>
        </is>
      </c>
      <c r="B28" s="14" t="inlineStr">
        <is>
          <t>客户 Clients</t>
        </is>
      </c>
      <c r="C28" s="14" t="inlineStr">
        <is>
          <t>实体类型选项</t>
        </is>
      </c>
      <c r="D28" s="13" t="inlineStr">
        <is>
          <t>P1</t>
        </is>
      </c>
      <c r="E28" s="14" t="inlineStr">
        <is>
          <t>无</t>
        </is>
      </c>
      <c r="F28" s="14" t="inlineStr">
        <is>
          <t>1. 新建实体时查看类型下拉</t>
        </is>
      </c>
      <c r="G28" s="14" t="inlineStr">
        <is>
          <t>至少包含 Individual、Company、Partnership、Trust、Other Incorporated Entity</t>
        </is>
      </c>
      <c r="H28" s="14" t="inlineStr">
        <is>
          <t>§5 实体类型 5 个选项</t>
        </is>
      </c>
      <c r="I28" s="13" t="inlineStr">
        <is>
          <t>同等</t>
        </is>
      </c>
      <c r="J28" s="13" t="n"/>
      <c r="K28" s="16" t="n"/>
      <c r="L28" s="13" t="n"/>
      <c r="M28" s="14" t="n"/>
    </row>
    <row r="29">
      <c r="A29" s="13" t="inlineStr">
        <is>
          <t>03-08</t>
        </is>
      </c>
      <c r="B29" s="14" t="inlineStr">
        <is>
          <t>客户 Clients</t>
        </is>
      </c>
      <c r="C29" s="14" t="inlineStr">
        <is>
          <t>联系人</t>
        </is>
      </c>
      <c r="D29" s="13" t="inlineStr">
        <is>
          <t>P1</t>
        </is>
      </c>
      <c r="E29" s="14" t="inlineStr">
        <is>
          <t>已有客户</t>
        </is>
      </c>
      <c r="F29" s="14" t="inlineStr">
        <is>
          <t>1. 给客户加两个联系人
2. 一个标为主要联系人，一个标为账单联系人</t>
        </is>
      </c>
      <c r="G29" s="14" t="inlineStr">
        <is>
          <t>联系人保存成功，标记正确显示</t>
        </is>
      </c>
      <c r="H29" s="14" t="inlineStr">
        <is>
          <t>§5 Contact 字段在但客户页没有入口</t>
        </is>
      </c>
      <c r="I29" s="19" t="inlineStr">
        <is>
          <t>增强</t>
        </is>
      </c>
      <c r="J29" s="13" t="n"/>
      <c r="K29" s="16" t="n"/>
      <c r="L29" s="13" t="n"/>
      <c r="M29" s="14" t="n"/>
    </row>
    <row r="30">
      <c r="A30" s="13" t="inlineStr">
        <is>
          <t>03-09</t>
        </is>
      </c>
      <c r="B30" s="14" t="inlineStr">
        <is>
          <t>客户 Clients</t>
        </is>
      </c>
      <c r="C30" s="14" t="inlineStr">
        <is>
          <t>推荐人</t>
        </is>
      </c>
      <c r="D30" s="13" t="inlineStr">
        <is>
          <t>P2</t>
        </is>
      </c>
      <c r="E30" s="14" t="inlineStr">
        <is>
          <t>已有客户和联系人</t>
        </is>
      </c>
      <c r="F30" s="14" t="inlineStr">
        <is>
          <t>1. 把某联系人标为推荐人（Referrer）</t>
        </is>
      </c>
      <c r="G30" s="14" t="inlineStr">
        <is>
          <t>保存成功，客户页能看到推荐人</t>
        </is>
      </c>
      <c r="H30" s="14" t="inlineStr">
        <is>
          <t>§15 推荐人字段在但没有界面</t>
        </is>
      </c>
      <c r="I30" s="19" t="inlineStr">
        <is>
          <t>增强</t>
        </is>
      </c>
      <c r="J30" s="13" t="n"/>
      <c r="K30" s="16" t="n"/>
      <c r="L30" s="13" t="n"/>
      <c r="M30" s="14" t="n"/>
    </row>
    <row r="31">
      <c r="A31" s="13" t="inlineStr">
        <is>
          <t>03-10</t>
        </is>
      </c>
      <c r="B31" s="14" t="inlineStr">
        <is>
          <t>客户 Clients</t>
        </is>
      </c>
      <c r="C31" s="14" t="inlineStr">
        <is>
          <t>客户名下项目</t>
        </is>
      </c>
      <c r="D31" s="15" t="inlineStr">
        <is>
          <t>P0</t>
        </is>
      </c>
      <c r="E31" s="14" t="inlineStr">
        <is>
          <t>客户名下有会计和 Grants 项目各一个</t>
        </is>
      </c>
      <c r="F31" s="14" t="inlineStr">
        <is>
          <t>1. 打开客户 → Work 标签</t>
        </is>
      </c>
      <c r="G31" s="14" t="inlineStr">
        <is>
          <t>两个项目都列出来，能点进去</t>
        </is>
      </c>
      <c r="H31" s="14" t="inlineStr">
        <is>
          <t>§4 client-projects：某客户名下的项目</t>
        </is>
      </c>
      <c r="I31" s="13" t="inlineStr">
        <is>
          <t>同等</t>
        </is>
      </c>
      <c r="J31" s="13" t="n"/>
      <c r="K31" s="16" t="n"/>
      <c r="L31" s="13" t="n"/>
      <c r="M31" s="14" t="n"/>
    </row>
    <row r="32">
      <c r="A32" s="13" t="inlineStr">
        <is>
          <t>03-11</t>
        </is>
      </c>
      <c r="B32" s="14" t="inlineStr">
        <is>
          <t>客户 Clients</t>
        </is>
      </c>
      <c r="C32" s="14" t="inlineStr">
        <is>
          <t>归档客户</t>
        </is>
      </c>
      <c r="D32" s="15" t="inlineStr">
        <is>
          <t>P0</t>
        </is>
      </c>
      <c r="E32" s="14" t="inlineStr">
        <is>
          <t>客户 X 有 2 个在看板上的项目，另有 1 个已手动归档的项目</t>
        </is>
      </c>
      <c r="F32" s="14" t="inlineStr">
        <is>
          <t>1. 归档客户 X
2. 看 Clients 的 Archived 分组
3. 看两个项目所在看板和 Archived 页</t>
        </is>
      </c>
      <c r="G32" s="14" t="inlineStr">
        <is>
          <t>X 出现在已归档客户里；2 个在用项目从看板消失，出现在 Archived，来源显示"Client archived"；这一步不触发自动化</t>
        </is>
      </c>
      <c r="H32" s="14" t="inlineStr">
        <is>
          <t>§16 归档客户：客户停用，名下在用项目一起归档，来源 Client Archive，不跑自动化</t>
        </is>
      </c>
      <c r="I32" s="13" t="inlineStr">
        <is>
          <t>同等</t>
        </is>
      </c>
      <c r="J32" s="13" t="n"/>
      <c r="K32" s="16" t="n"/>
      <c r="L32" s="13" t="n"/>
      <c r="M32" s="14" t="n"/>
    </row>
    <row r="33">
      <c r="A33" s="13" t="inlineStr">
        <is>
          <t>03-12</t>
        </is>
      </c>
      <c r="B33" s="14" t="inlineStr">
        <is>
          <t>客户 Clients</t>
        </is>
      </c>
      <c r="C33" s="14" t="inlineStr">
        <is>
          <t>恢复客户</t>
        </is>
      </c>
      <c r="D33" s="15" t="inlineStr">
        <is>
          <t>P0</t>
        </is>
      </c>
      <c r="E33" s="14" t="inlineStr">
        <is>
          <t>接上一条</t>
        </is>
      </c>
      <c r="F33" s="14" t="inlineStr">
        <is>
          <t>1. 在 Archived 分组里恢复客户 X
2. 查看三个项目</t>
        </is>
      </c>
      <c r="G33" s="14" t="inlineStr">
        <is>
          <t>因客户归档而归档的 2 个项目回到原看板；原本手动归档的那 1 个仍在 Archived</t>
        </is>
      </c>
      <c r="H33" s="14" t="inlineStr">
        <is>
          <t>§16 恢复只恢复当时一起归档的项目，手动归档的不打开</t>
        </is>
      </c>
      <c r="I33" s="13" t="inlineStr">
        <is>
          <t>同等</t>
        </is>
      </c>
      <c r="J33" s="13" t="n"/>
      <c r="K33" s="16" t="n"/>
      <c r="L33" s="13" t="n"/>
      <c r="M33" s="14" t="n"/>
    </row>
    <row r="34">
      <c r="A34" s="13" t="inlineStr">
        <is>
          <t>03-13</t>
        </is>
      </c>
      <c r="B34" s="14" t="inlineStr">
        <is>
          <t>客户 Clients</t>
        </is>
      </c>
      <c r="C34" s="14" t="inlineStr">
        <is>
          <t>删除有项目的客户</t>
        </is>
      </c>
      <c r="D34" s="15" t="inlineStr">
        <is>
          <t>P0</t>
        </is>
      </c>
      <c r="E34" s="14" t="inlineStr">
        <is>
          <t>客户名下有项目</t>
        </is>
      </c>
      <c r="F34" s="14" t="inlineStr">
        <is>
          <t>1. 删除该客户</t>
        </is>
      </c>
      <c r="G34" s="14" t="inlineStr">
        <is>
          <t>被拒绝，并提示还有几个关联项目</t>
        </is>
      </c>
      <c r="H34" s="14" t="inlineStr">
        <is>
          <t>§16 有关联项目时拒绝删除并返回数量</t>
        </is>
      </c>
      <c r="I34" s="13" t="inlineStr">
        <is>
          <t>同等</t>
        </is>
      </c>
      <c r="J34" s="13" t="n"/>
      <c r="K34" s="16" t="n"/>
      <c r="L34" s="13" t="n"/>
      <c r="M34" s="14" t="n"/>
    </row>
    <row r="35">
      <c r="A35" s="13" t="inlineStr">
        <is>
          <t>03-14</t>
        </is>
      </c>
      <c r="B35" s="14" t="inlineStr">
        <is>
          <t>客户 Clients</t>
        </is>
      </c>
      <c r="C35" s="14" t="inlineStr">
        <is>
          <t>删除无项目的客户</t>
        </is>
      </c>
      <c r="D35" s="13" t="inlineStr">
        <is>
          <t>P1</t>
        </is>
      </c>
      <c r="E35" s="14" t="inlineStr">
        <is>
          <t>一个没有任何项目的客户</t>
        </is>
      </c>
      <c r="F35" s="14" t="inlineStr">
        <is>
          <t>1. 删除该客户</t>
        </is>
      </c>
      <c r="G35" s="14" t="inlineStr">
        <is>
          <t>删除成功，列表里不再显示（可从 Activity 恢复）</t>
        </is>
      </c>
      <c r="H35" s="14" t="inlineStr">
        <is>
          <t>§16 无关联项目时删除</t>
        </is>
      </c>
      <c r="I35" s="19" t="inlineStr">
        <is>
          <t>增强</t>
        </is>
      </c>
      <c r="J35" s="13" t="n"/>
      <c r="K35" s="16" t="n"/>
      <c r="L35" s="13" t="n"/>
      <c r="M35" s="14" t="n"/>
    </row>
    <row r="36">
      <c r="A36" s="13" t="inlineStr">
        <is>
          <t>03-15</t>
        </is>
      </c>
      <c r="B36" s="14" t="inlineStr">
        <is>
          <t>客户 Clients</t>
        </is>
      </c>
      <c r="C36" s="14" t="inlineStr">
        <is>
          <t>客户 Updates</t>
        </is>
      </c>
      <c r="D36" s="13" t="inlineStr">
        <is>
          <t>P2</t>
        </is>
      </c>
      <c r="E36" s="14" t="inlineStr">
        <is>
          <t>已有客户</t>
        </is>
      </c>
      <c r="F36" s="14" t="inlineStr">
        <is>
          <t>1. 客户页 → Updates，写一条留言</t>
        </is>
      </c>
      <c r="G36" s="14" t="inlineStr">
        <is>
          <t>留言保存并显示作者和时间</t>
        </is>
      </c>
      <c r="H36" s="14" t="inlineStr">
        <is>
          <t>老系统只有项目上有 Updates</t>
        </is>
      </c>
      <c r="I36" s="17" t="inlineStr">
        <is>
          <t>新增</t>
        </is>
      </c>
      <c r="J36" s="13" t="n"/>
      <c r="K36" s="16" t="n"/>
      <c r="L36" s="13" t="n"/>
      <c r="M36" s="14" t="n"/>
    </row>
    <row r="37">
      <c r="A37" s="13" t="inlineStr">
        <is>
          <t>03-16</t>
        </is>
      </c>
      <c r="B37" s="14" t="inlineStr">
        <is>
          <t>客户 Clients</t>
        </is>
      </c>
      <c r="C37" s="14" t="inlineStr">
        <is>
          <t>客户 Activity</t>
        </is>
      </c>
      <c r="D37" s="13" t="inlineStr">
        <is>
          <t>P1</t>
        </is>
      </c>
      <c r="E37" s="14" t="inlineStr">
        <is>
          <t>改过客户资料</t>
        </is>
      </c>
      <c r="F37" s="14" t="inlineStr">
        <is>
          <t>1. 客户页 → Activity</t>
        </is>
      </c>
      <c r="G37" s="14" t="inlineStr">
        <is>
          <t>看到刚才的修改：谁、什么时候、改了什么</t>
        </is>
      </c>
      <c r="H37" s="14" t="inlineStr">
        <is>
          <t>§12 全局活动包含客户的更新</t>
        </is>
      </c>
      <c r="I37" s="13" t="inlineStr">
        <is>
          <t>同等</t>
        </is>
      </c>
      <c r="J37" s="13" t="n"/>
      <c r="K37" s="16" t="n"/>
      <c r="L37" s="13" t="n"/>
      <c r="M37" s="14" t="n"/>
    </row>
    <row r="38">
      <c r="A38" s="13" t="inlineStr">
        <is>
          <t>03-17</t>
        </is>
      </c>
      <c r="B38" s="14" t="inlineStr">
        <is>
          <t>客户 Clients</t>
        </is>
      </c>
      <c r="C38" s="14" t="inlineStr">
        <is>
          <t>Grants 客户级字段同步到看板</t>
        </is>
      </c>
      <c r="D38" s="15" t="inlineStr">
        <is>
          <t>P0</t>
        </is>
      </c>
      <c r="E38" s="14" t="inlineStr">
        <is>
          <t>客户 X 在 FY 2026 看板上有项目</t>
        </is>
      </c>
      <c r="F38" s="14" t="inlineStr">
        <is>
          <t>1. 在客户 X 上改 Portal Access Received、Portal Access Expiry、State、Industry、地址、主要沟通方式
2. 打开 FY 2026 看板</t>
        </is>
      </c>
      <c r="G38" s="14" t="inlineStr">
        <is>
          <t>看板上 X 那一行对应列立刻显示新值</t>
        </is>
      </c>
      <c r="H38" s="14" t="inlineStr">
        <is>
          <t>§5/§7 门户权限在客户保存时抄到项目上</t>
        </is>
      </c>
      <c r="I38" s="18" t="inlineStr">
        <is>
          <t>差异</t>
        </is>
      </c>
      <c r="J38" s="13" t="n"/>
      <c r="K38" s="16" t="n"/>
      <c r="L38" s="13" t="n"/>
      <c r="M38" s="14" t="n"/>
    </row>
    <row r="39">
      <c r="A39" s="13" t="inlineStr">
        <is>
          <t>03-18</t>
        </is>
      </c>
      <c r="B39" s="14" t="inlineStr">
        <is>
          <t>客户 Clients</t>
        </is>
      </c>
      <c r="C39" s="14" t="inlineStr">
        <is>
          <t>看板上改客户级字段</t>
        </is>
      </c>
      <c r="D39" s="13" t="inlineStr">
        <is>
          <t>P1</t>
        </is>
      </c>
      <c r="E39" s="14" t="inlineStr">
        <is>
          <t>同上</t>
        </is>
      </c>
      <c r="F39" s="14" t="inlineStr">
        <is>
          <t>1. 在 Grants 看板上尝试直接改 Portal Access Expiry 这类镜像列</t>
        </is>
      </c>
      <c r="G39" s="14" t="inlineStr">
        <is>
          <t>按设计不在行上单独改，而是改客户（列为只读，或跳到客户页）。如果业务上需要"某一行单独不同"，请在备注里写出来</t>
        </is>
      </c>
      <c r="H39" s="14" t="inlineStr">
        <is>
          <t>§7 项目上那一份仍可以在看板里单独改</t>
        </is>
      </c>
      <c r="I39" s="18" t="inlineStr">
        <is>
          <t>差异</t>
        </is>
      </c>
      <c r="J39" s="13" t="n"/>
      <c r="K39" s="16" t="n"/>
      <c r="L39" s="13" t="n"/>
      <c r="M39" s="14" t="n"/>
    </row>
    <row r="40">
      <c r="A40" s="13" t="inlineStr">
        <is>
          <t>04-01</t>
        </is>
      </c>
      <c r="B40" s="14" t="inlineStr">
        <is>
          <t>Accounting 看板</t>
        </is>
      </c>
      <c r="C40" s="14" t="inlineStr">
        <is>
          <t>看板列表</t>
        </is>
      </c>
      <c r="D40" s="15" t="inlineStr">
        <is>
          <t>P0</t>
        </is>
      </c>
      <c r="E40" s="14" t="inlineStr">
        <is>
          <t>无</t>
        </is>
      </c>
      <c r="F40" s="14" t="inlineStr">
        <is>
          <t>1. 切到 Accounting，看侧边栏</t>
        </is>
      </c>
      <c r="G40" s="14" t="inlineStr">
        <is>
          <t>有 Financials &amp; Tax Return、ITR、BAS、Payroll、Payroll &amp; Super、Bookkeeping、SMSF、Audit、Financial Statements</t>
        </is>
      </c>
      <c r="H40" s="14" t="inlineStr">
        <is>
          <t>§2 一种 Project Type 一块看板</t>
        </is>
      </c>
      <c r="I40" s="13" t="inlineStr">
        <is>
          <t>同等</t>
        </is>
      </c>
      <c r="J40" s="13" t="n"/>
      <c r="K40" s="16" t="n"/>
      <c r="L40" s="13" t="n"/>
      <c r="M40" s="14" t="n"/>
    </row>
    <row r="41">
      <c r="A41" s="13" t="inlineStr">
        <is>
          <t>04-02</t>
        </is>
      </c>
      <c r="B41" s="14" t="inlineStr">
        <is>
          <t>Accounting 看板</t>
        </is>
      </c>
      <c r="C41" s="14" t="inlineStr">
        <is>
          <t>字段齐全</t>
        </is>
      </c>
      <c r="D41" s="15" t="inlineStr">
        <is>
          <t>P0</t>
        </is>
      </c>
      <c r="E41" s="14" t="inlineStr">
        <is>
          <t>打开任一会计看板</t>
        </is>
      </c>
      <c r="F41" s="14" t="inlineStr">
        <is>
          <t>1. 点 Columns，逐个勾选显示</t>
        </is>
      </c>
      <c r="G41" s="14" t="inlineStr">
        <is>
          <t>能找到：Project Name、Client、Entity、Fiscal Year、Status、Lodgement Due、Company、Entity Type、Year End、Target Month、Frequency、Reset Date、Monthly Status、Software、ATO、LodgeIT、Company Agent、Xero/QuickBooks、Priority、Budget、Engagement Letter、Notes，以及 Preparer / Manager / Partner / Assigned Person</t>
        </is>
      </c>
      <c r="H41" s="14" t="inlineStr">
        <is>
          <t>§6 会计线全部标准字段和自定义字段</t>
        </is>
      </c>
      <c r="I41" s="13" t="inlineStr">
        <is>
          <t>同等</t>
        </is>
      </c>
      <c r="J41" s="13" t="n"/>
      <c r="K41" s="16" t="n"/>
      <c r="L41" s="13" t="n"/>
      <c r="M41" s="14" t="n"/>
    </row>
    <row r="42">
      <c r="A42" s="13" t="inlineStr">
        <is>
          <t>04-03</t>
        </is>
      </c>
      <c r="B42" s="14" t="inlineStr">
        <is>
          <t>Accounting 看板</t>
        </is>
      </c>
      <c r="C42" s="14" t="inlineStr">
        <is>
          <t>状态选项</t>
        </is>
      </c>
      <c r="D42" s="15" t="inlineStr">
        <is>
          <t>P0</t>
        </is>
      </c>
      <c r="E42" s="14" t="inlineStr">
        <is>
          <t>无</t>
        </is>
      </c>
      <c r="F42" s="14" t="inlineStr">
        <is>
          <t>1. 点任一行的 Status</t>
        </is>
      </c>
      <c r="G42" s="14" t="inlineStr">
        <is>
          <t>13 个：Not started、Working on it、Waiting for client、Ready for manager review、Review points to be actioned、Ready for partner review、Ready to send to client、Sent to client for signature、Waiting for CTR、Waiting for payment、Hold、Completed、Not to Proceed</t>
        </is>
      </c>
      <c r="H42" s="14" t="inlineStr">
        <is>
          <t>§10 状态池中会计用的部分</t>
        </is>
      </c>
      <c r="I42" s="13" t="inlineStr">
        <is>
          <t>同等</t>
        </is>
      </c>
      <c r="J42" s="13" t="n"/>
      <c r="K42" s="16" t="n"/>
      <c r="L42" s="13" t="n"/>
      <c r="M42" s="14" t="n"/>
    </row>
    <row r="43">
      <c r="A43" s="13" t="inlineStr">
        <is>
          <t>04-04</t>
        </is>
      </c>
      <c r="B43" s="14" t="inlineStr">
        <is>
          <t>Accounting 看板</t>
        </is>
      </c>
      <c r="C43" s="14" t="inlineStr">
        <is>
          <t>频率选项</t>
        </is>
      </c>
      <c r="D43" s="13" t="inlineStr">
        <is>
          <t>P1</t>
        </is>
      </c>
      <c r="E43" s="14" t="inlineStr">
        <is>
          <t>无</t>
        </is>
      </c>
      <c r="F43" s="14" t="inlineStr">
        <is>
          <t>1. 点 Frequency</t>
        </is>
      </c>
      <c r="G43" s="14" t="inlineStr">
        <is>
          <t>Yearly、Half-Yearly、Quarterly、Monthly、Fortnightly、Weekly、One-off</t>
        </is>
      </c>
      <c r="H43" s="14" t="inlineStr">
        <is>
          <t>§6 频率 7 个选项</t>
        </is>
      </c>
      <c r="I43" s="13" t="inlineStr">
        <is>
          <t>同等</t>
        </is>
      </c>
      <c r="J43" s="13" t="n"/>
      <c r="K43" s="16" t="n"/>
      <c r="L43" s="13" t="n"/>
      <c r="M43" s="14" t="n"/>
    </row>
    <row r="44">
      <c r="A44" s="13" t="inlineStr">
        <is>
          <t>04-05</t>
        </is>
      </c>
      <c r="B44" s="14" t="inlineStr">
        <is>
          <t>Accounting 看板</t>
        </is>
      </c>
      <c r="C44" s="14" t="inlineStr">
        <is>
          <t>12 个月完成状态</t>
        </is>
      </c>
      <c r="D44" s="15" t="inlineStr">
        <is>
          <t>P0</t>
        </is>
      </c>
      <c r="E44" s="14" t="inlineStr">
        <is>
          <t>一行项目</t>
        </is>
      </c>
      <c r="F44" s="14" t="inlineStr">
        <is>
          <t>1. 在 Monthly Status 里点几个月份格子
2. 刷新页面</t>
        </is>
      </c>
      <c r="G44" s="14" t="inlineStr">
        <is>
          <t>每格可在 Not Started / Working On It / Stuck / Done 之间切换，颜色不同；刷新后保持</t>
        </is>
      </c>
      <c r="H44" s="14" t="inlineStr">
        <is>
          <t>§6 Monthly Status：每月一条状态，四个选项</t>
        </is>
      </c>
      <c r="I44" s="13" t="inlineStr">
        <is>
          <t>同等</t>
        </is>
      </c>
      <c r="J44" s="13" t="n"/>
      <c r="K44" s="16" t="n"/>
      <c r="L44" s="13" t="n"/>
      <c r="M44" s="14" t="n"/>
    </row>
    <row r="45">
      <c r="A45" s="13" t="inlineStr">
        <is>
          <t>04-06</t>
        </is>
      </c>
      <c r="B45" s="14" t="inlineStr">
        <is>
          <t>Accounting 看板</t>
        </is>
      </c>
      <c r="C45" s="14" t="inlineStr">
        <is>
          <t>软件（多选）</t>
        </is>
      </c>
      <c r="D45" s="15" t="inlineStr">
        <is>
          <t>P0</t>
        </is>
      </c>
      <c r="E45" s="14" t="inlineStr">
        <is>
          <t>一行项目</t>
        </is>
      </c>
      <c r="F45" s="14" t="inlineStr">
        <is>
          <t>1. 在 Software 选 Xero 和 MYOB
2. 再去掉 MYOB</t>
        </is>
      </c>
      <c r="G45" s="14" t="inlineStr">
        <is>
          <t>多选正确保存</t>
        </is>
      </c>
      <c r="H45" s="14" t="inlineStr">
        <is>
          <t>§6 custom_softwares 子表</t>
        </is>
      </c>
      <c r="I45" s="13" t="inlineStr">
        <is>
          <t>同等</t>
        </is>
      </c>
      <c r="J45" s="13" t="n"/>
      <c r="K45" s="16" t="n"/>
      <c r="L45" s="13" t="n"/>
      <c r="M45" s="14" t="n"/>
    </row>
    <row r="46">
      <c r="A46" s="13" t="inlineStr">
        <is>
          <t>04-07</t>
        </is>
      </c>
      <c r="B46" s="14" t="inlineStr">
        <is>
          <t>Accounting 看板</t>
        </is>
      </c>
      <c r="C46" s="14" t="inlineStr">
        <is>
          <t>四个跟踪状态</t>
        </is>
      </c>
      <c r="D46" s="13" t="inlineStr">
        <is>
          <t>P1</t>
        </is>
      </c>
      <c r="E46" s="14" t="inlineStr">
        <is>
          <t>一行项目</t>
        </is>
      </c>
      <c r="F46" s="14" t="inlineStr">
        <is>
          <t>1. 分别改 ATO、LodgeIT、Company Agent、Xero/QuickBooks</t>
        </is>
      </c>
      <c r="G46" s="14" t="inlineStr">
        <is>
          <t>选项都是 Not started / Not applicable / Done，保存正确</t>
        </is>
      </c>
      <c r="H46" s="14" t="inlineStr">
        <is>
          <t>§6 四个跟踪状态字段</t>
        </is>
      </c>
      <c r="I46" s="13" t="inlineStr">
        <is>
          <t>同等</t>
        </is>
      </c>
      <c r="J46" s="13" t="n"/>
      <c r="K46" s="16" t="n"/>
      <c r="L46" s="13" t="n"/>
      <c r="M46" s="14" t="n"/>
    </row>
    <row r="47">
      <c r="A47" s="13" t="inlineStr">
        <is>
          <t>04-08</t>
        </is>
      </c>
      <c r="B47" s="14" t="inlineStr">
        <is>
          <t>Accounting 看板</t>
        </is>
      </c>
      <c r="C47" s="14" t="inlineStr">
        <is>
          <t>Entity Type 来自实体</t>
        </is>
      </c>
      <c r="D47" s="13" t="inlineStr">
        <is>
          <t>P1</t>
        </is>
      </c>
      <c r="E47" s="14" t="inlineStr">
        <is>
          <t>项目已关联实体</t>
        </is>
      </c>
      <c r="F47" s="14" t="inlineStr">
        <is>
          <t>1. 去客户页把实体类型从 Company 改成 Trust
2. 回到看板</t>
        </is>
      </c>
      <c r="G47" s="14" t="inlineStr">
        <is>
          <t>该行 Entity Type 自动变成 Trust</t>
        </is>
      </c>
      <c r="H47" s="14" t="inlineStr">
        <is>
          <t>§6 实体类型展示用，从实体带出</t>
        </is>
      </c>
      <c r="I47" s="18" t="inlineStr">
        <is>
          <t>差异</t>
        </is>
      </c>
      <c r="J47" s="13" t="n"/>
      <c r="K47" s="16" t="n"/>
      <c r="L47" s="13" t="n"/>
      <c r="M47" s="14" t="n"/>
    </row>
    <row r="48">
      <c r="A48" s="13" t="inlineStr">
        <is>
          <t>04-09</t>
        </is>
      </c>
      <c r="B48" s="14" t="inlineStr">
        <is>
          <t>Accounting 看板</t>
        </is>
      </c>
      <c r="C48" s="14" t="inlineStr">
        <is>
          <t>团队角色</t>
        </is>
      </c>
      <c r="D48" s="15" t="inlineStr">
        <is>
          <t>P0</t>
        </is>
      </c>
      <c r="E48" s="14" t="inlineStr">
        <is>
          <t>一行项目</t>
        </is>
      </c>
      <c r="F48" s="14" t="inlineStr">
        <is>
          <t>1. 给这一行设置 Preparer、Manager、Assigned Person 各一人</t>
        </is>
      </c>
      <c r="G48" s="14" t="inlineStr">
        <is>
          <t>保存后显示人名；打开项目详情能看到分配日期</t>
        </is>
      </c>
      <c r="H48" s="14" t="inlineStr">
        <is>
          <t>§6 Project Team Member：用户、角色、分配日期</t>
        </is>
      </c>
      <c r="I48" s="13" t="inlineStr">
        <is>
          <t>同等</t>
        </is>
      </c>
      <c r="J48" s="13" t="n"/>
      <c r="K48" s="16" t="n"/>
      <c r="L48" s="13" t="n"/>
      <c r="M48" s="14" t="n"/>
    </row>
    <row r="49">
      <c r="A49" s="13" t="inlineStr">
        <is>
          <t>04-10</t>
        </is>
      </c>
      <c r="B49" s="14" t="inlineStr">
        <is>
          <t>Accounting 看板</t>
        </is>
      </c>
      <c r="C49" s="14" t="inlineStr">
        <is>
          <t>Engagement Letter</t>
        </is>
      </c>
      <c r="D49" s="13" t="inlineStr">
        <is>
          <t>P2</t>
        </is>
      </c>
      <c r="E49" s="14" t="inlineStr">
        <is>
          <t>一行项目</t>
        </is>
      </c>
      <c r="F49" s="14" t="inlineStr">
        <is>
          <t>1. 在 Engagement Letter 填一个网盘链接</t>
        </is>
      </c>
      <c r="G49" s="14" t="inlineStr">
        <is>
          <t>保存为链接，可点击打开。暂不支持上传文件（已知限制，等文件模块）</t>
        </is>
      </c>
      <c r="H49" s="14" t="inlineStr">
        <is>
          <t>§6 custom_engagement_letter 是附件</t>
        </is>
      </c>
      <c r="I49" s="18" t="inlineStr">
        <is>
          <t>差异</t>
        </is>
      </c>
      <c r="J49" s="13" t="n"/>
      <c r="K49" s="16" t="n"/>
      <c r="L49" s="13" t="n"/>
      <c r="M49" s="14" t="n"/>
    </row>
    <row r="50">
      <c r="A50" s="13" t="inlineStr">
        <is>
          <t>05-01</t>
        </is>
      </c>
      <c r="B50" s="14" t="inlineStr">
        <is>
          <t>Grants 看板</t>
        </is>
      </c>
      <c r="C50" s="14" t="inlineStr">
        <is>
          <t>看板列表</t>
        </is>
      </c>
      <c r="D50" s="15" t="inlineStr">
        <is>
          <t>P0</t>
        </is>
      </c>
      <c r="E50" s="14" t="inlineStr">
        <is>
          <t>无</t>
        </is>
      </c>
      <c r="F50" s="14" t="inlineStr">
        <is>
          <t>1. 切到 Grants，看侧边栏</t>
        </is>
      </c>
      <c r="G50" s="14" t="inlineStr">
        <is>
          <t>有 FY 2024、FY 2025、FY 2026、FY 2027，没有 Archived (Holding)</t>
        </is>
      </c>
      <c r="H50" s="14" t="inlineStr">
        <is>
          <t>§2 FY 2024–FY 2027 加 Archived (Holding)</t>
        </is>
      </c>
      <c r="I50" s="18" t="inlineStr">
        <is>
          <t>差异</t>
        </is>
      </c>
      <c r="J50" s="13" t="n"/>
      <c r="K50" s="16" t="n"/>
      <c r="L50" s="13" t="n"/>
      <c r="M50" s="14" t="n"/>
    </row>
    <row r="51">
      <c r="A51" s="13" t="inlineStr">
        <is>
          <t>05-02</t>
        </is>
      </c>
      <c r="B51" s="14" t="inlineStr">
        <is>
          <t>Grants 看板</t>
        </is>
      </c>
      <c r="C51" s="14" t="inlineStr">
        <is>
          <t>客户列固定在左边</t>
        </is>
      </c>
      <c r="D51" s="13" t="inlineStr">
        <is>
          <t>P1</t>
        </is>
      </c>
      <c r="E51" s="14" t="inlineStr">
        <is>
          <t>打开 FY 2026</t>
        </is>
      </c>
      <c r="F51" s="14" t="inlineStr">
        <is>
          <t>1. 向右滚动表格
2. 尝试把别的列拖到客户列左边</t>
        </is>
      </c>
      <c r="G51" s="14" t="inlineStr">
        <is>
          <t>客户列始终固定在最左</t>
        </is>
      </c>
      <c r="H51" s="14" t="inlineStr">
        <is>
          <t>§7 customer 固定在最左边</t>
        </is>
      </c>
      <c r="I51" s="13" t="inlineStr">
        <is>
          <t>同等</t>
        </is>
      </c>
      <c r="J51" s="13" t="n"/>
      <c r="K51" s="16" t="n"/>
      <c r="L51" s="13" t="n"/>
      <c r="M51" s="14" t="n"/>
    </row>
    <row r="52">
      <c r="A52" s="13" t="inlineStr">
        <is>
          <t>05-03</t>
        </is>
      </c>
      <c r="B52" s="14" t="inlineStr">
        <is>
          <t>Grants 看板</t>
        </is>
      </c>
      <c r="C52" s="14" t="inlineStr">
        <is>
          <t>字段齐全</t>
        </is>
      </c>
      <c r="D52" s="15" t="inlineStr">
        <is>
          <t>P0</t>
        </is>
      </c>
      <c r="E52" s="14" t="inlineStr">
        <is>
          <t>打开 FY 2026</t>
        </is>
      </c>
      <c r="F52" s="14" t="inlineStr">
        <is>
          <t>1. 点 Columns，逐个勾选显示</t>
        </is>
      </c>
      <c r="G52" s="14" t="inlineStr">
        <is>
          <t>能找到：FY/CY、Grant Type、Grants Priority、Portal Access Received、Portal Access Expiry、Tax Agent、AP Submit Date、Industry Approval Date、Tax Lodgement Date、Contact Name、Primary Communication、ABN、State、Industry、Engagement Date、Rebate Amount、Fee Arrangement、Fee Percentage、Referral、Application Progress、Notes，以及 Responsible Person、Salesperson、Partner</t>
        </is>
      </c>
      <c r="H52" s="14" t="inlineStr">
        <is>
          <t>§7 Grants 全部自定义字段</t>
        </is>
      </c>
      <c r="I52" s="13" t="inlineStr">
        <is>
          <t>同等</t>
        </is>
      </c>
      <c r="J52" s="13" t="n"/>
      <c r="K52" s="16" t="n"/>
      <c r="L52" s="13" t="n"/>
      <c r="M52" s="14" t="n"/>
    </row>
    <row r="53">
      <c r="A53" s="13" t="inlineStr">
        <is>
          <t>05-04</t>
        </is>
      </c>
      <c r="B53" s="14" t="inlineStr">
        <is>
          <t>Grants 看板</t>
        </is>
      </c>
      <c r="C53" s="14" t="inlineStr">
        <is>
          <t>状态选项</t>
        </is>
      </c>
      <c r="D53" s="15" t="inlineStr">
        <is>
          <t>P0</t>
        </is>
      </c>
      <c r="E53" s="14" t="inlineStr">
        <is>
          <t>无</t>
        </is>
      </c>
      <c r="F53" s="14" t="inlineStr">
        <is>
          <t>1. 点任一行 Status</t>
        </is>
      </c>
      <c r="G53" s="14" t="inlineStr">
        <is>
          <t>19 个，按申报顺序：Not started、Hold、Waiting for kickoff … Waiting for payment、Completed、Not to Proceed</t>
        </is>
      </c>
      <c r="H53" s="14" t="inlineStr">
        <is>
          <t>§10 Grants 使用按申报顺序排的一段</t>
        </is>
      </c>
      <c r="I53" s="13" t="inlineStr">
        <is>
          <t>同等</t>
        </is>
      </c>
      <c r="J53" s="13" t="n"/>
      <c r="K53" s="16" t="n"/>
      <c r="L53" s="13" t="n"/>
      <c r="M53" s="14" t="n"/>
    </row>
    <row r="54">
      <c r="A54" s="13" t="inlineStr">
        <is>
          <t>05-05</t>
        </is>
      </c>
      <c r="B54" s="14" t="inlineStr">
        <is>
          <t>Grants 看板</t>
        </is>
      </c>
      <c r="C54" s="14" t="inlineStr">
        <is>
          <t>三个日期是真正的日期</t>
        </is>
      </c>
      <c r="D54" s="15" t="inlineStr">
        <is>
          <t>P0</t>
        </is>
      </c>
      <c r="E54" s="14" t="inlineStr">
        <is>
          <t>一行项目</t>
        </is>
      </c>
      <c r="F54" s="14" t="inlineStr">
        <is>
          <t>1. AP Submit Date 填 2026-09-11
2. Industry Approval Date、Tax Lodgement Date 各填一个日期
3. 按 AP Submit Date 排序</t>
        </is>
      </c>
      <c r="G54" s="14" t="inlineStr">
        <is>
          <t>用日期选择器输入；排序按时间先后，不按文字</t>
        </is>
      </c>
      <c r="H54" s="14" t="inlineStr">
        <is>
          <t>§7 三个日期在老系统是文字</t>
        </is>
      </c>
      <c r="I54" s="19" t="inlineStr">
        <is>
          <t>增强</t>
        </is>
      </c>
      <c r="J54" s="13" t="n"/>
      <c r="K54" s="16" t="n"/>
      <c r="L54" s="13" t="n"/>
      <c r="M54" s="14" t="n"/>
    </row>
    <row r="55">
      <c r="A55" s="13" t="inlineStr">
        <is>
          <t>05-06</t>
        </is>
      </c>
      <c r="B55" s="14" t="inlineStr">
        <is>
          <t>Grants 看板</t>
        </is>
      </c>
      <c r="C55" s="14" t="inlineStr">
        <is>
          <t>选项字段</t>
        </is>
      </c>
      <c r="D55" s="13" t="inlineStr">
        <is>
          <t>P1</t>
        </is>
      </c>
      <c r="E55" s="14" t="inlineStr">
        <is>
          <t>一行项目</t>
        </is>
      </c>
      <c r="F55" s="14" t="inlineStr">
        <is>
          <t>1. 改 Grant Type、Grants Priority、FY/CY、Tax Agent</t>
        </is>
      </c>
      <c r="G55" s="14" t="inlineStr">
        <is>
          <t>Grant Type：R&amp;DTI / EMDG；Priority：S1–S4（有颜色）；FY/CY：FY / CY；Tax Agent 是勾选</t>
        </is>
      </c>
      <c r="H55" s="14" t="inlineStr">
        <is>
          <t>§7 custom_grants_type、priority、tg_tax_agent</t>
        </is>
      </c>
      <c r="I55" s="13" t="inlineStr">
        <is>
          <t>同等</t>
        </is>
      </c>
      <c r="J55" s="13" t="n"/>
      <c r="K55" s="16" t="n"/>
      <c r="L55" s="13" t="n"/>
      <c r="M55" s="14" t="n"/>
    </row>
    <row r="56">
      <c r="A56" s="13" t="inlineStr">
        <is>
          <t>05-07</t>
        </is>
      </c>
      <c r="B56" s="14" t="inlineStr">
        <is>
          <t>Grants 看板</t>
        </is>
      </c>
      <c r="C56" s="14" t="inlineStr">
        <is>
          <t>人员是系统用户</t>
        </is>
      </c>
      <c r="D56" s="13" t="inlineStr">
        <is>
          <t>P1</t>
        </is>
      </c>
      <c r="E56" s="14" t="inlineStr">
        <is>
          <t>已建好用户</t>
        </is>
      </c>
      <c r="F56" s="14" t="inlineStr">
        <is>
          <t>1. 在 Responsible Person、Salesperson、Partner 里选人</t>
        </is>
      </c>
      <c r="G56" s="14" t="inlineStr">
        <is>
          <t>从用户列表里选，不是自由文字；被选的人在 Home 能看到这个项目</t>
        </is>
      </c>
      <c r="H56" s="14" t="inlineStr">
        <is>
          <t>§7 合伙人、负责人在老系统是文字</t>
        </is>
      </c>
      <c r="I56" s="19" t="inlineStr">
        <is>
          <t>增强</t>
        </is>
      </c>
      <c r="J56" s="13" t="n"/>
      <c r="K56" s="16" t="n"/>
      <c r="L56" s="13" t="n"/>
      <c r="M56" s="14" t="n"/>
    </row>
    <row r="57">
      <c r="A57" s="13" t="inlineStr">
        <is>
          <t>05-08</t>
        </is>
      </c>
      <c r="B57" s="14" t="inlineStr">
        <is>
          <t>Grants 看板</t>
        </is>
      </c>
      <c r="C57" s="14" t="inlineStr">
        <is>
          <t>ABN、联系人等来自客户</t>
        </is>
      </c>
      <c r="D57" s="13" t="inlineStr">
        <is>
          <t>P1</t>
        </is>
      </c>
      <c r="E57" s="14" t="inlineStr">
        <is>
          <t>客户有 ABN 和联系人</t>
        </is>
      </c>
      <c r="F57" s="14" t="inlineStr">
        <is>
          <t>1. 看该客户在 Grants 看板上的 ABN、Contact Name 列</t>
        </is>
      </c>
      <c r="G57" s="14" t="inlineStr">
        <is>
          <t>显示客户上的值</t>
        </is>
      </c>
      <c r="H57" s="14" t="inlineStr">
        <is>
          <t>§7 ABN、地址、联系人是项目上的快照</t>
        </is>
      </c>
      <c r="I57" s="18" t="inlineStr">
        <is>
          <t>差异</t>
        </is>
      </c>
      <c r="J57" s="13" t="n"/>
      <c r="K57" s="16" t="n"/>
      <c r="L57" s="13" t="n"/>
      <c r="M57" s="14" t="n"/>
    </row>
    <row r="58">
      <c r="A58" s="13" t="inlineStr">
        <is>
          <t>06-01</t>
        </is>
      </c>
      <c r="B58" s="14" t="inlineStr">
        <is>
          <t>看板表格（两条线通用）</t>
        </is>
      </c>
      <c r="C58" s="14" t="inlineStr">
        <is>
          <t>大量行滚动</t>
        </is>
      </c>
      <c r="D58" s="13" t="inlineStr">
        <is>
          <t>P1</t>
        </is>
      </c>
      <c r="E58" s="14" t="inlineStr">
        <is>
          <t>看板上有 100 行以上（可用迁移导入样本）</t>
        </is>
      </c>
      <c r="F58" s="14" t="inlineStr">
        <is>
          <t>1. 打开看板，快速上下滚动</t>
        </is>
      </c>
      <c r="G58" s="14" t="inlineStr">
        <is>
          <t>流畅，没有空白或卡死</t>
        </is>
      </c>
      <c r="H58" s="14" t="inlineStr">
        <is>
          <t>§8 滚动查看，行多时分段加载</t>
        </is>
      </c>
      <c r="I58" s="13" t="inlineStr">
        <is>
          <t>同等</t>
        </is>
      </c>
      <c r="J58" s="13" t="n"/>
      <c r="K58" s="16" t="n"/>
      <c r="L58" s="13" t="n"/>
      <c r="M58" s="14" t="n"/>
    </row>
    <row r="59">
      <c r="A59" s="13" t="inlineStr">
        <is>
          <t>06-02</t>
        </is>
      </c>
      <c r="B59" s="14" t="inlineStr">
        <is>
          <t>看板表格（两条线通用）</t>
        </is>
      </c>
      <c r="C59" s="14" t="inlineStr">
        <is>
          <t>显示/隐藏列</t>
        </is>
      </c>
      <c r="D59" s="15" t="inlineStr">
        <is>
          <t>P0</t>
        </is>
      </c>
      <c r="E59" s="14" t="inlineStr">
        <is>
          <t>无</t>
        </is>
      </c>
      <c r="F59" s="14" t="inlineStr">
        <is>
          <t>1. Columns 里关掉 Notes，再打开</t>
        </is>
      </c>
      <c r="G59" s="14" t="inlineStr">
        <is>
          <t>列随之消失和出现</t>
        </is>
      </c>
      <c r="H59" s="14" t="inlineStr">
        <is>
          <t>§8 显示、隐藏列</t>
        </is>
      </c>
      <c r="I59" s="13" t="inlineStr">
        <is>
          <t>同等</t>
        </is>
      </c>
      <c r="J59" s="13" t="n"/>
      <c r="K59" s="16" t="n"/>
      <c r="L59" s="13" t="n"/>
      <c r="M59" s="14" t="n"/>
    </row>
    <row r="60">
      <c r="A60" s="13" t="inlineStr">
        <is>
          <t>06-03</t>
        </is>
      </c>
      <c r="B60" s="14" t="inlineStr">
        <is>
          <t>看板表格（两条线通用）</t>
        </is>
      </c>
      <c r="C60" s="14" t="inlineStr">
        <is>
          <t>列宽、列顺序</t>
        </is>
      </c>
      <c r="D60" s="15" t="inlineStr">
        <is>
          <t>P0</t>
        </is>
      </c>
      <c r="E60" s="14" t="inlineStr">
        <is>
          <t>无</t>
        </is>
      </c>
      <c r="F60" s="14" t="inlineStr">
        <is>
          <t>1. 拖动列边框改宽度
2. 拖动列头换顺序</t>
        </is>
      </c>
      <c r="G60" s="14" t="inlineStr">
        <is>
          <t>宽度和顺序立即生效（保存成视图后刷新也保持）</t>
        </is>
      </c>
      <c r="H60" s="14" t="inlineStr">
        <is>
          <t>§8 调列宽和顺序</t>
        </is>
      </c>
      <c r="I60" s="13" t="inlineStr">
        <is>
          <t>同等</t>
        </is>
      </c>
      <c r="J60" s="13" t="n"/>
      <c r="K60" s="16" t="n"/>
      <c r="L60" s="13" t="n"/>
      <c r="M60" s="14" t="n"/>
    </row>
    <row r="61">
      <c r="A61" s="13" t="inlineStr">
        <is>
          <t>06-04</t>
        </is>
      </c>
      <c r="B61" s="14" t="inlineStr">
        <is>
          <t>看板表格（两条线通用）</t>
        </is>
      </c>
      <c r="C61" s="14" t="inlineStr">
        <is>
          <t>搜索</t>
        </is>
      </c>
      <c r="D61" s="15" t="inlineStr">
        <is>
          <t>P0</t>
        </is>
      </c>
      <c r="E61" s="14" t="inlineStr">
        <is>
          <t>无</t>
        </is>
      </c>
      <c r="F61" s="14" t="inlineStr">
        <is>
          <t>1. 在看板搜索框输入项目名或客户名的一部分</t>
        </is>
      </c>
      <c r="G61" s="14" t="inlineStr">
        <is>
          <t>只显示匹配的行</t>
        </is>
      </c>
      <c r="H61" s="14" t="inlineStr">
        <is>
          <t>§8 搜索项目名</t>
        </is>
      </c>
      <c r="I61" s="13" t="inlineStr">
        <is>
          <t>同等</t>
        </is>
      </c>
      <c r="J61" s="13" t="n"/>
      <c r="K61" s="16" t="n"/>
      <c r="L61" s="13" t="n"/>
      <c r="M61" s="14" t="n"/>
    </row>
    <row r="62">
      <c r="A62" s="13" t="inlineStr">
        <is>
          <t>06-05</t>
        </is>
      </c>
      <c r="B62" s="14" t="inlineStr">
        <is>
          <t>看板表格（两条线通用）</t>
        </is>
      </c>
      <c r="C62" s="14" t="inlineStr">
        <is>
          <t>排序</t>
        </is>
      </c>
      <c r="D62" s="15" t="inlineStr">
        <is>
          <t>P0</t>
        </is>
      </c>
      <c r="E62" s="14" t="inlineStr">
        <is>
          <t>无</t>
        </is>
      </c>
      <c r="F62" s="14" t="inlineStr">
        <is>
          <t>1. 点 Lodgement Due（或其他列）列头，再点一次</t>
        </is>
      </c>
      <c r="G62" s="14" t="inlineStr">
        <is>
          <t>升序、降序切换正确，空值位置一致</t>
        </is>
      </c>
      <c r="H62" s="14" t="inlineStr">
        <is>
          <t>§8 排序</t>
        </is>
      </c>
      <c r="I62" s="13" t="inlineStr">
        <is>
          <t>同等</t>
        </is>
      </c>
      <c r="J62" s="13" t="n"/>
      <c r="K62" s="16" t="n"/>
      <c r="L62" s="13" t="n"/>
      <c r="M62" s="14" t="n"/>
    </row>
    <row r="63">
      <c r="A63" s="13" t="inlineStr">
        <is>
          <t>06-06</t>
        </is>
      </c>
      <c r="B63" s="14" t="inlineStr">
        <is>
          <t>看板表格（两条线通用）</t>
        </is>
      </c>
      <c r="C63" s="14" t="inlineStr">
        <is>
          <t>高级筛选</t>
        </is>
      </c>
      <c r="D63" s="15" t="inlineStr">
        <is>
          <t>P0</t>
        </is>
      </c>
      <c r="E63" s="14" t="inlineStr">
        <is>
          <t>无</t>
        </is>
      </c>
      <c r="F63" s="14" t="inlineStr">
        <is>
          <t>1. 打开 Filter
2. 条件：Status 是 Working on it 且 Priority 是 High
3. 改成"或"
4. 再加一条 Lodgement Due 在 14 天内
5. 加一条 Preparer 是"我"</t>
        </is>
      </c>
      <c r="G63" s="14" t="inlineStr">
        <is>
          <t>每一步结果正确；且/或切换生效；相对日期和"我"都可用</t>
        </is>
      </c>
      <c r="H63" s="14" t="inlineStr">
        <is>
          <t>§8 高级筛选</t>
        </is>
      </c>
      <c r="I63" s="19" t="inlineStr">
        <is>
          <t>增强</t>
        </is>
      </c>
      <c r="J63" s="13" t="n"/>
      <c r="K63" s="16" t="n"/>
      <c r="L63" s="13" t="n"/>
      <c r="M63" s="14" t="n"/>
    </row>
    <row r="64">
      <c r="A64" s="13" t="inlineStr">
        <is>
          <t>06-07</t>
        </is>
      </c>
      <c r="B64" s="14" t="inlineStr">
        <is>
          <t>看板表格（两条线通用）</t>
        </is>
      </c>
      <c r="C64" s="14" t="inlineStr">
        <is>
          <t>单元格编辑</t>
        </is>
      </c>
      <c r="D64" s="15" t="inlineStr">
        <is>
          <t>P0</t>
        </is>
      </c>
      <c r="E64" s="14" t="inlineStr">
        <is>
          <t>无</t>
        </is>
      </c>
      <c r="F64" s="14" t="inlineStr">
        <is>
          <t>1. 在单元格里分别改文本、下拉、日期、金额、勾选
2. 刷新页面</t>
        </is>
      </c>
      <c r="G64" s="14" t="inlineStr">
        <is>
          <t>保存成功，刷新后仍是新值</t>
        </is>
      </c>
      <c r="H64" s="14" t="inlineStr">
        <is>
          <t>§8 在单元格里直接改值</t>
        </is>
      </c>
      <c r="I64" s="13" t="inlineStr">
        <is>
          <t>同等</t>
        </is>
      </c>
      <c r="J64" s="13" t="n"/>
      <c r="K64" s="16" t="n"/>
      <c r="L64" s="13" t="n"/>
      <c r="M64" s="14" t="n"/>
    </row>
    <row r="65">
      <c r="A65" s="13" t="inlineStr">
        <is>
          <t>06-08</t>
        </is>
      </c>
      <c r="B65" s="14" t="inlineStr">
        <is>
          <t>看板表格（两条线通用）</t>
        </is>
      </c>
      <c r="C65" s="14" t="inlineStr">
        <is>
          <t>同时编辑冲突</t>
        </is>
      </c>
      <c r="D65" s="13" t="inlineStr">
        <is>
          <t>P1</t>
        </is>
      </c>
      <c r="E65" s="14" t="inlineStr">
        <is>
          <t>两个浏览器（或一个普通 + 一个无痕窗口）登录两个用户，打开同一看板</t>
        </is>
      </c>
      <c r="F65" s="14" t="inlineStr">
        <is>
          <t>1. 两边同时开始编辑同一行同一个单元格
2. A 先保存
3. B 再保存</t>
        </is>
      </c>
      <c r="G65" s="14" t="inlineStr">
        <is>
          <t>B 收到"别人已经改过"的提示，A 的值没有被悄悄覆盖</t>
        </is>
      </c>
      <c r="H65" s="14" t="inlineStr">
        <is>
          <t>老系统没有冲突检测</t>
        </is>
      </c>
      <c r="I65" s="19" t="inlineStr">
        <is>
          <t>增强</t>
        </is>
      </c>
      <c r="J65" s="13" t="n"/>
      <c r="K65" s="16" t="n"/>
      <c r="L65" s="13" t="n"/>
      <c r="M65" s="14" t="n"/>
    </row>
    <row r="66">
      <c r="A66" s="13" t="inlineStr">
        <is>
          <t>06-09</t>
        </is>
      </c>
      <c r="B66" s="14" t="inlineStr">
        <is>
          <t>看板表格（两条线通用）</t>
        </is>
      </c>
      <c r="C66" s="14" t="inlineStr">
        <is>
          <t>实时刷新</t>
        </is>
      </c>
      <c r="D66" s="13" t="inlineStr">
        <is>
          <t>P1</t>
        </is>
      </c>
      <c r="E66" s="14" t="inlineStr">
        <is>
          <t>同上</t>
        </is>
      </c>
      <c r="F66" s="14" t="inlineStr">
        <is>
          <t>1. A 改一个状态
2. 观察 B 的屏幕（不刷新）</t>
        </is>
      </c>
      <c r="G66" s="14" t="inlineStr">
        <is>
          <t>B 的看板几秒内自动显示新状态</t>
        </is>
      </c>
      <c r="H66" s="14" t="inlineStr">
        <is>
          <t>老系统没有</t>
        </is>
      </c>
      <c r="I66" s="17" t="inlineStr">
        <is>
          <t>新增</t>
        </is>
      </c>
      <c r="J66" s="13" t="n"/>
      <c r="K66" s="16" t="n"/>
      <c r="L66" s="13" t="n"/>
      <c r="M66" s="14" t="n"/>
    </row>
    <row r="67">
      <c r="A67" s="13" t="inlineStr">
        <is>
          <t>06-10</t>
        </is>
      </c>
      <c r="B67" s="14" t="inlineStr">
        <is>
          <t>看板表格（两条线通用）</t>
        </is>
      </c>
      <c r="C67" s="14" t="inlineStr">
        <is>
          <t>保存个人视图</t>
        </is>
      </c>
      <c r="D67" s="15" t="inlineStr">
        <is>
          <t>P0</t>
        </is>
      </c>
      <c r="E67" s="14" t="inlineStr">
        <is>
          <t>无</t>
        </is>
      </c>
      <c r="F67" s="14" t="inlineStr">
        <is>
          <t>1. 调好列、筛选、排序
2. Views → 保存为 Personal
3. 刷新后从 Views 选它</t>
        </is>
      </c>
      <c r="G67" s="14" t="inlineStr">
        <is>
          <t>视图还原列、筛选、排序；其他用户看不到</t>
        </is>
      </c>
      <c r="H67" s="14" t="inlineStr">
        <is>
          <t>§8 Saved View：Personal</t>
        </is>
      </c>
      <c r="I67" s="13" t="inlineStr">
        <is>
          <t>同等</t>
        </is>
      </c>
      <c r="J67" s="13" t="n"/>
      <c r="K67" s="16" t="n"/>
      <c r="L67" s="13" t="n"/>
      <c r="M67" s="14" t="n"/>
    </row>
    <row r="68">
      <c r="A68" s="13" t="inlineStr">
        <is>
          <t>06-11</t>
        </is>
      </c>
      <c r="B68" s="14" t="inlineStr">
        <is>
          <t>看板表格（两条线通用）</t>
        </is>
      </c>
      <c r="C68" s="14" t="inlineStr">
        <is>
          <t>共享视图</t>
        </is>
      </c>
      <c r="D68" s="15" t="inlineStr">
        <is>
          <t>P0</t>
        </is>
      </c>
      <c r="E68" s="14" t="inlineStr">
        <is>
          <t>manager 或管理员</t>
        </is>
      </c>
      <c r="F68" s="14" t="inlineStr">
        <is>
          <t>1. 保存为 Shared
2. 换一个用户登录查看 Views</t>
        </is>
      </c>
      <c r="G68" s="14" t="inlineStr">
        <is>
          <t>其他用户能看到并使用，但不能修改（除非有权限）</t>
        </is>
      </c>
      <c r="H68" s="14" t="inlineStr">
        <is>
          <t>§8 Saved View：Shared</t>
        </is>
      </c>
      <c r="I68" s="13" t="inlineStr">
        <is>
          <t>同等</t>
        </is>
      </c>
      <c r="J68" s="13" t="n"/>
      <c r="K68" s="16" t="n"/>
      <c r="L68" s="13" t="n"/>
      <c r="M68" s="14" t="n"/>
    </row>
    <row r="69">
      <c r="A69" s="13" t="inlineStr">
        <is>
          <t>06-12</t>
        </is>
      </c>
      <c r="B69" s="14" t="inlineStr">
        <is>
          <t>看板表格（两条线通用）</t>
        </is>
      </c>
      <c r="C69" s="14" t="inlineStr">
        <is>
          <t>默认视图</t>
        </is>
      </c>
      <c r="D69" s="13" t="inlineStr">
        <is>
          <t>P1</t>
        </is>
      </c>
      <c r="E69" s="14" t="inlineStr">
        <is>
          <t>已有共享视图</t>
        </is>
      </c>
      <c r="F69" s="14" t="inlineStr">
        <is>
          <t>1. 把一个视图设为这块看板的默认
2. 另一个用户打开这块看板</t>
        </is>
      </c>
      <c r="G69" s="14" t="inlineStr">
        <is>
          <t>自动套用默认视图</t>
        </is>
      </c>
      <c r="H69" s="14" t="inlineStr">
        <is>
          <t>§8 标成这块看板的默认视图</t>
        </is>
      </c>
      <c r="I69" s="13" t="inlineStr">
        <is>
          <t>同等</t>
        </is>
      </c>
      <c r="J69" s="13" t="n"/>
      <c r="K69" s="16" t="n"/>
      <c r="L69" s="13" t="n"/>
      <c r="M69" s="14" t="n"/>
    </row>
    <row r="70">
      <c r="A70" s="13" t="inlineStr">
        <is>
          <t>06-13</t>
        </is>
      </c>
      <c r="B70" s="14" t="inlineStr">
        <is>
          <t>看板表格（两条线通用）</t>
        </is>
      </c>
      <c r="C70" s="14" t="inlineStr">
        <is>
          <t>批量改字段</t>
        </is>
      </c>
      <c r="D70" s="15" t="inlineStr">
        <is>
          <t>P0</t>
        </is>
      </c>
      <c r="E70" s="14" t="inlineStr">
        <is>
          <t>勾选 3 行</t>
        </is>
      </c>
      <c r="F70" s="14" t="inlineStr">
        <is>
          <t>1. 批量栏 → Edit field → 选 Status → 设为 Hold</t>
        </is>
      </c>
      <c r="G70" s="14" t="inlineStr">
        <is>
          <t>3 行都改成 Hold</t>
        </is>
      </c>
      <c r="H70" s="14" t="inlineStr">
        <is>
          <t>§8 勾选多行批量改同一字段</t>
        </is>
      </c>
      <c r="I70" s="13" t="inlineStr">
        <is>
          <t>同等</t>
        </is>
      </c>
      <c r="J70" s="13" t="n"/>
      <c r="K70" s="16" t="n"/>
      <c r="L70" s="13" t="n"/>
      <c r="M70" s="14" t="n"/>
    </row>
    <row r="71">
      <c r="A71" s="13" t="inlineStr">
        <is>
          <t>06-14</t>
        </is>
      </c>
      <c r="B71" s="14" t="inlineStr">
        <is>
          <t>看板表格（两条线通用）</t>
        </is>
      </c>
      <c r="C71" s="14" t="inlineStr">
        <is>
          <t>批量改软件</t>
        </is>
      </c>
      <c r="D71" s="15" t="inlineStr">
        <is>
          <t>P0</t>
        </is>
      </c>
      <c r="E71" s="14" t="inlineStr">
        <is>
          <t>勾选 3 行（软件各不相同）</t>
        </is>
      </c>
      <c r="F71" s="14" t="inlineStr">
        <is>
          <t>1. Edit field → Software → 分别试 Add、Remove、Replace</t>
        </is>
      </c>
      <c r="G71" s="14" t="inlineStr">
        <is>
          <t>Add 只加不删；Remove 只去掉选中的；Replace 全部替换</t>
        </is>
      </c>
      <c r="H71" s="14" t="inlineStr">
        <is>
          <t>§8 批量改软件</t>
        </is>
      </c>
      <c r="I71" s="19" t="inlineStr">
        <is>
          <t>增强</t>
        </is>
      </c>
      <c r="J71" s="13" t="n"/>
      <c r="K71" s="16" t="n"/>
      <c r="L71" s="13" t="n"/>
      <c r="M71" s="14" t="n"/>
    </row>
    <row r="72">
      <c r="A72" s="13" t="inlineStr">
        <is>
          <t>06-15</t>
        </is>
      </c>
      <c r="B72" s="14" t="inlineStr">
        <is>
          <t>看板表格（两条线通用）</t>
        </is>
      </c>
      <c r="C72" s="14" t="inlineStr">
        <is>
          <t>批量改某角色的人</t>
        </is>
      </c>
      <c r="D72" s="15" t="inlineStr">
        <is>
          <t>P0</t>
        </is>
      </c>
      <c r="E72" s="14" t="inlineStr">
        <is>
          <t>勾选 3 行</t>
        </is>
      </c>
      <c r="F72" s="14" t="inlineStr">
        <is>
          <t>1. Edit field → Preparer → 选一个人</t>
        </is>
      </c>
      <c r="G72" s="14" t="inlineStr">
        <is>
          <t>3 行的 Preparer 都变成这个人，其他角色不变</t>
        </is>
      </c>
      <c r="H72" s="14" t="inlineStr">
        <is>
          <t>§8 批量改某一个角色上的人</t>
        </is>
      </c>
      <c r="I72" s="13" t="inlineStr">
        <is>
          <t>同等</t>
        </is>
      </c>
      <c r="J72" s="13" t="n"/>
      <c r="K72" s="16" t="n"/>
      <c r="L72" s="13" t="n"/>
      <c r="M72" s="14" t="n"/>
    </row>
    <row r="73">
      <c r="A73" s="13" t="inlineStr">
        <is>
          <t>06-16</t>
        </is>
      </c>
      <c r="B73" s="14" t="inlineStr">
        <is>
          <t>看板表格（两条线通用）</t>
        </is>
      </c>
      <c r="C73" s="14" t="inlineStr">
        <is>
          <t>导出 CSV</t>
        </is>
      </c>
      <c r="D73" s="15" t="inlineStr">
        <is>
          <t>P0</t>
        </is>
      </c>
      <c r="E73" s="14" t="inlineStr">
        <is>
          <t>看板上有数据，并设了筛选</t>
        </is>
      </c>
      <c r="F73" s="14" t="inlineStr">
        <is>
          <t>1. 看板右上角菜单 → Export CSV
2. 用 Excel 打开</t>
        </is>
      </c>
      <c r="G73" s="14" t="inlineStr">
        <is>
          <t>文件能下载；中文不乱码；列与当前显示一致</t>
        </is>
      </c>
      <c r="H73" s="14" t="inlineStr">
        <is>
          <t>§8 从看板菜单导出 CSV</t>
        </is>
      </c>
      <c r="I73" s="13" t="inlineStr">
        <is>
          <t>同等</t>
        </is>
      </c>
      <c r="J73" s="13" t="n"/>
      <c r="K73" s="16" t="n"/>
      <c r="L73" s="13" t="n"/>
      <c r="M73" s="14" t="n"/>
    </row>
    <row r="74">
      <c r="A74" s="13" t="inlineStr">
        <is>
          <t>06-17</t>
        </is>
      </c>
      <c r="B74" s="14" t="inlineStr">
        <is>
          <t>看板表格（两条线通用）</t>
        </is>
      </c>
      <c r="C74" s="14" t="inlineStr">
        <is>
          <t>移动到另一块看板</t>
        </is>
      </c>
      <c r="D74" s="13" t="inlineStr">
        <is>
          <t>P1</t>
        </is>
      </c>
      <c r="E74" s="14" t="inlineStr">
        <is>
          <t>勾选 1 行</t>
        </is>
      </c>
      <c r="F74" s="14" t="inlineStr">
        <is>
          <t>1. 批量栏 → Move → 选另一块看板</t>
        </is>
      </c>
      <c r="G74" s="14" t="inlineStr">
        <is>
          <t>该行从当前看板消失，出现在目标看板</t>
        </is>
      </c>
      <c r="H74" s="14" t="inlineStr">
        <is>
          <t>§8 改 project_type 换看板</t>
        </is>
      </c>
      <c r="I74" s="13" t="inlineStr">
        <is>
          <t>同等</t>
        </is>
      </c>
      <c r="J74" s="13" t="n"/>
      <c r="K74" s="16" t="n"/>
      <c r="L74" s="13" t="n"/>
      <c r="M74" s="14" t="n"/>
    </row>
    <row r="75">
      <c r="A75" s="13" t="inlineStr">
        <is>
          <t>07-01</t>
        </is>
      </c>
      <c r="B75" s="14" t="inlineStr">
        <is>
          <t>新建项目</t>
        </is>
      </c>
      <c r="C75" s="14" t="inlineStr">
        <is>
          <t>Accounting 必填项</t>
        </is>
      </c>
      <c r="D75" s="15" t="inlineStr">
        <is>
          <t>P0</t>
        </is>
      </c>
      <c r="E75" s="14" t="inlineStr">
        <is>
          <t>打开一块会计看板</t>
        </is>
      </c>
      <c r="F75" s="14" t="inlineStr">
        <is>
          <t>1. 点 New
2. 不填客户、公司、财年直接保存
3. 补齐后保存</t>
        </is>
      </c>
      <c r="G75" s="14" t="inlineStr">
        <is>
          <t>缺项时提示哪些必填；补齐后创建成功，出现在当前看板</t>
        </is>
      </c>
      <c r="H75" s="14" t="inlineStr">
        <is>
          <t>§16 会计必填：项目名称、客户、公司、财年、项目类型</t>
        </is>
      </c>
      <c r="I75" s="13" t="inlineStr">
        <is>
          <t>同等</t>
        </is>
      </c>
      <c r="J75" s="13" t="n"/>
      <c r="K75" s="16" t="n"/>
      <c r="L75" s="13" t="n"/>
      <c r="M75" s="14" t="n"/>
    </row>
    <row r="76">
      <c r="A76" s="13" t="inlineStr">
        <is>
          <t>07-02</t>
        </is>
      </c>
      <c r="B76" s="14" t="inlineStr">
        <is>
          <t>新建项目</t>
        </is>
      </c>
      <c r="C76" s="14" t="inlineStr">
        <is>
          <t>从客户带出年结和合伙人</t>
        </is>
      </c>
      <c r="D76" s="15" t="inlineStr">
        <is>
          <t>P0</t>
        </is>
      </c>
      <c r="E76" s="14" t="inlineStr">
        <is>
          <t>客户有主实体（年结 June）和负责合伙人</t>
        </is>
      </c>
      <c r="F76" s="14" t="inlineStr">
        <is>
          <t>1. 新建项目只选这个客户，不填 Year End 和 Partner
2. 保存后看这一行</t>
        </is>
      </c>
      <c r="G76" s="14" t="inlineStr">
        <is>
          <t>Entity 自动是主实体；Year End = June；团队里自动有该合伙人（Partner），分配日期为今天</t>
        </is>
      </c>
      <c r="H76" s="14" t="inlineStr">
        <is>
          <t>§16 年结从实体带入；没有 Partner 时用客户合伙人补一行</t>
        </is>
      </c>
      <c r="I76" s="13" t="inlineStr">
        <is>
          <t>同等</t>
        </is>
      </c>
      <c r="J76" s="13" t="n"/>
      <c r="K76" s="16" t="n"/>
      <c r="L76" s="13" t="n"/>
      <c r="M76" s="14" t="n"/>
    </row>
    <row r="77">
      <c r="A77" s="13" t="inlineStr">
        <is>
          <t>07-03</t>
        </is>
      </c>
      <c r="B77" s="14" t="inlineStr">
        <is>
          <t>新建项目</t>
        </is>
      </c>
      <c r="C77" s="14" t="inlineStr">
        <is>
          <t>手填年结不被覆盖</t>
        </is>
      </c>
      <c r="D77" s="13" t="inlineStr">
        <is>
          <t>P1</t>
        </is>
      </c>
      <c r="E77" s="14" t="inlineStr">
        <is>
          <t>同上</t>
        </is>
      </c>
      <c r="F77" s="14" t="inlineStr">
        <is>
          <t>1. 新建时手动选 Year End = March</t>
        </is>
      </c>
      <c r="G77" s="14" t="inlineStr">
        <is>
          <t>保存后仍是 March</t>
        </is>
      </c>
      <c r="H77" s="14" t="inlineStr">
        <is>
          <t>§16 年结只在为空时带入</t>
        </is>
      </c>
      <c r="I77" s="13" t="inlineStr">
        <is>
          <t>同等</t>
        </is>
      </c>
      <c r="J77" s="13" t="n"/>
      <c r="K77" s="16" t="n"/>
      <c r="L77" s="13" t="n"/>
      <c r="M77" s="14" t="n"/>
    </row>
    <row r="78">
      <c r="A78" s="13" t="inlineStr">
        <is>
          <t>07-04</t>
        </is>
      </c>
      <c r="B78" s="14" t="inlineStr">
        <is>
          <t>新建项目</t>
        </is>
      </c>
      <c r="C78" s="14" t="inlineStr">
        <is>
          <t>默认状态</t>
        </is>
      </c>
      <c r="D78" s="13" t="inlineStr">
        <is>
          <t>P1</t>
        </is>
      </c>
      <c r="E78" s="14" t="inlineStr">
        <is>
          <t>无</t>
        </is>
      </c>
      <c r="F78" s="14" t="inlineStr">
        <is>
          <t>1. 新建项目不选状态</t>
        </is>
      </c>
      <c r="G78" s="14" t="inlineStr">
        <is>
          <t>状态为 Not started</t>
        </is>
      </c>
      <c r="H78" s="14" t="inlineStr">
        <is>
          <t>§16 状态不合法时用 Not started</t>
        </is>
      </c>
      <c r="I78" s="13" t="inlineStr">
        <is>
          <t>同等</t>
        </is>
      </c>
      <c r="J78" s="13" t="n"/>
      <c r="K78" s="16" t="n"/>
      <c r="L78" s="13" t="n"/>
      <c r="M78" s="14" t="n"/>
    </row>
    <row r="79">
      <c r="A79" s="13" t="inlineStr">
        <is>
          <t>07-05</t>
        </is>
      </c>
      <c r="B79" s="14" t="inlineStr">
        <is>
          <t>新建项目</t>
        </is>
      </c>
      <c r="C79" s="14" t="inlineStr">
        <is>
          <t>Grants 必填项和默认值</t>
        </is>
      </c>
      <c r="D79" s="15" t="inlineStr">
        <is>
          <t>P0</t>
        </is>
      </c>
      <c r="E79" s="14" t="inlineStr">
        <is>
          <t>打开 FY 2026</t>
        </is>
      </c>
      <c r="F79" s="14" t="inlineStr">
        <is>
          <t>1. 点 New，看哪些必填、Company 默认是什么
2. 填客户后保存</t>
        </is>
      </c>
      <c r="G79" s="14" t="inlineStr">
        <is>
          <t>按老系统：必填项目名称、客户、公司；公司默认 Top Grants。如果新系统不要求公司或没有默认值，请记为问题</t>
        </is>
      </c>
      <c r="H79" s="14" t="inlineStr">
        <is>
          <t>§16 Grants 必填名称、客户、公司；公司默认 Top Grants，频率默认 One-off</t>
        </is>
      </c>
      <c r="I79" s="20" t="inlineStr">
        <is>
          <t>待确认</t>
        </is>
      </c>
      <c r="J79" s="13" t="n"/>
      <c r="K79" s="16" t="n"/>
      <c r="L79" s="13" t="n"/>
      <c r="M79" s="14" t="n"/>
    </row>
    <row r="80">
      <c r="A80" s="13" t="inlineStr">
        <is>
          <t>07-06</t>
        </is>
      </c>
      <c r="B80" s="14" t="inlineStr">
        <is>
          <t>新建项目</t>
        </is>
      </c>
      <c r="C80" s="14" t="inlineStr">
        <is>
          <t>项目名称重复</t>
        </is>
      </c>
      <c r="D80" s="13" t="inlineStr">
        <is>
          <t>P1</t>
        </is>
      </c>
      <c r="E80" s="14" t="inlineStr">
        <is>
          <t>看板上已有项目 "Test Client A - ITR 2026"</t>
        </is>
      </c>
      <c r="F80" s="14" t="inlineStr">
        <is>
          <t>1. 再新建一个同名项目</t>
        </is>
      </c>
      <c r="G80" s="14" t="inlineStr">
        <is>
          <t>按老系统应被拒绝。新系统目前可能允许同名（导入时同一客户多行需要），请记录实际行为，我们再决定</t>
        </is>
      </c>
      <c r="H80" s="14" t="inlineStr">
        <is>
          <t>§16 project_name 已存在则失败</t>
        </is>
      </c>
      <c r="I80" s="20" t="inlineStr">
        <is>
          <t>待确认</t>
        </is>
      </c>
      <c r="J80" s="13" t="n"/>
      <c r="K80" s="16" t="n"/>
      <c r="L80" s="13" t="n"/>
      <c r="M80" s="14" t="n"/>
    </row>
    <row r="81">
      <c r="A81" s="13" t="inlineStr">
        <is>
          <t>07-07</t>
        </is>
      </c>
      <c r="B81" s="14" t="inlineStr">
        <is>
          <t>新建项目</t>
        </is>
      </c>
      <c r="C81" s="14" t="inlineStr">
        <is>
          <t>客户名有歧义</t>
        </is>
      </c>
      <c r="D81" s="13" t="inlineStr">
        <is>
          <t>P2</t>
        </is>
      </c>
      <c r="E81" s="14" t="inlineStr">
        <is>
          <t>有两个相似名称的客户</t>
        </is>
      </c>
      <c r="F81" s="14" t="inlineStr">
        <is>
          <t>1. 新建项目时在客户框里搜索</t>
        </is>
      </c>
      <c r="G81" s="14" t="inlineStr">
        <is>
          <t>能看到两个，必须明确选一个，不会自动猜</t>
        </is>
      </c>
      <c r="H81" s="14" t="inlineStr">
        <is>
          <t>§16 客户显示名匹配多个时失败</t>
        </is>
      </c>
      <c r="I81" s="13" t="inlineStr">
        <is>
          <t>同等</t>
        </is>
      </c>
      <c r="J81" s="13" t="n"/>
      <c r="K81" s="16" t="n"/>
      <c r="L81" s="13" t="n"/>
      <c r="M81" s="14" t="n"/>
    </row>
    <row r="82">
      <c r="A82" s="13" t="inlineStr">
        <is>
          <t>08-01</t>
        </is>
      </c>
      <c r="B82" s="14" t="inlineStr">
        <is>
          <t>Roll over</t>
        </is>
      </c>
      <c r="C82" s="14" t="inlineStr">
        <is>
          <t>会计 Roll over 到同一看板</t>
        </is>
      </c>
      <c r="D82" s="15" t="inlineStr">
        <is>
          <t>P0</t>
        </is>
      </c>
      <c r="E82" s="14" t="inlineStr">
        <is>
          <t>勾选 2 行 FY 2025-2026 的会计项目</t>
        </is>
      </c>
      <c r="F82" s="14" t="inlineStr">
        <is>
          <t>1. 批量栏 → Roll over
2. 目标看板保持当前，财年选 +1
3. 确认</t>
        </is>
      </c>
      <c r="G82" s="14" t="inlineStr">
        <is>
          <t>生成 2 个新项目，财年为 2026-2027，名称按规则改了后缀，状态 Not started；原项目保持不变</t>
        </is>
      </c>
      <c r="H82" s="14" t="inlineStr">
        <is>
          <t>§16 会计默认留在当前看板；财年默认加一年</t>
        </is>
      </c>
      <c r="I82" s="13" t="inlineStr">
        <is>
          <t>同等</t>
        </is>
      </c>
      <c r="J82" s="13" t="n"/>
      <c r="K82" s="16" t="n"/>
      <c r="L82" s="13" t="n"/>
      <c r="M82" s="14" t="n"/>
    </row>
    <row r="83">
      <c r="A83" s="13" t="inlineStr">
        <is>
          <t>08-02</t>
        </is>
      </c>
      <c r="B83" s="14" t="inlineStr">
        <is>
          <t>Roll over</t>
        </is>
      </c>
      <c r="C83" s="14" t="inlineStr">
        <is>
          <t>逐列选择带走/清空/设值/+1 年</t>
        </is>
      </c>
      <c r="D83" s="15" t="inlineStr">
        <is>
          <t>P0</t>
        </is>
      </c>
      <c r="E83" s="14" t="inlineStr">
        <is>
          <t>同上</t>
        </is>
      </c>
      <c r="F83" s="14" t="inlineStr">
        <is>
          <t>1. Roll over 弹窗里：Notes 选 Clear，Priority 选 Copy，Target Month 选 Set=March，Reset Date 选 +1 year
2. 确认</t>
        </is>
      </c>
      <c r="G83" s="14" t="inlineStr">
        <is>
          <t>新项目：Notes 为空；Priority 与原来相同；Target Month = March；Reset Date 比原来晚一年；Monthly Status 默认清空</t>
        </is>
      </c>
      <c r="H83" s="14" t="inlineStr">
        <is>
          <t>§16 每列可带走、清空、设新值；日期列可加一年</t>
        </is>
      </c>
      <c r="I83" s="13" t="inlineStr">
        <is>
          <t>同等</t>
        </is>
      </c>
      <c r="J83" s="13" t="n"/>
      <c r="K83" s="16" t="n"/>
      <c r="L83" s="13" t="n"/>
      <c r="M83" s="14" t="n"/>
    </row>
    <row r="84">
      <c r="A84" s="13" t="inlineStr">
        <is>
          <t>08-03</t>
        </is>
      </c>
      <c r="B84" s="14" t="inlineStr">
        <is>
          <t>Roll over</t>
        </is>
      </c>
      <c r="C84" s="14" t="inlineStr">
        <is>
          <t>固定处理的字段</t>
        </is>
      </c>
      <c r="D84" s="13" t="inlineStr">
        <is>
          <t>P1</t>
        </is>
      </c>
      <c r="E84" s="14" t="inlineStr">
        <is>
          <t>同上</t>
        </is>
      </c>
      <c r="F84" s="14" t="inlineStr">
        <is>
          <t>1. 查看新项目的 Client、Company</t>
        </is>
      </c>
      <c r="G84" s="14" t="inlineStr">
        <is>
          <t>Client 和 Company 总是带走，不出现在可选列表里</t>
        </is>
      </c>
      <c r="H84" s="14" t="inlineStr">
        <is>
          <t>§16 customer、company 原值抄过去</t>
        </is>
      </c>
      <c r="I84" s="13" t="inlineStr">
        <is>
          <t>同等</t>
        </is>
      </c>
      <c r="J84" s="13" t="n"/>
      <c r="K84" s="16" t="n"/>
      <c r="L84" s="13" t="n"/>
      <c r="M84" s="14" t="n"/>
    </row>
    <row r="85">
      <c r="A85" s="13" t="inlineStr">
        <is>
          <t>08-04</t>
        </is>
      </c>
      <c r="B85" s="14" t="inlineStr">
        <is>
          <t>Roll over</t>
        </is>
      </c>
      <c r="C85" s="14" t="inlineStr">
        <is>
          <t>命名规则</t>
        </is>
      </c>
      <c r="D85" s="13" t="inlineStr">
        <is>
          <t>P1</t>
        </is>
      </c>
      <c r="E85" s="14" t="inlineStr">
        <is>
          <t>原项目名 "Test Client A - ITR 2025-2026"</t>
        </is>
      </c>
      <c r="F85" s="14" t="inlineStr">
        <is>
          <t>1. Roll over 不填后缀，财年 +1
2. 再对同一原项目 Roll over 一次（同一目标）</t>
        </is>
      </c>
      <c r="G85" s="14" t="inlineStr">
        <is>
          <t>第一次去掉旧财年加新财年；第二次名称冲突时自动加 (2)</t>
        </is>
      </c>
      <c r="H85" s="14" t="inlineStr">
        <is>
          <t>§16 去掉旧后缀再加新后缀；冲突时括号从 2 递增</t>
        </is>
      </c>
      <c r="I85" s="13" t="inlineStr">
        <is>
          <t>同等</t>
        </is>
      </c>
      <c r="J85" s="13" t="n"/>
      <c r="K85" s="16" t="n"/>
      <c r="L85" s="13" t="n"/>
      <c r="M85" s="14" t="n"/>
    </row>
    <row r="86">
      <c r="A86" s="13" t="inlineStr">
        <is>
          <t>08-05</t>
        </is>
      </c>
      <c r="B86" s="14" t="inlineStr">
        <is>
          <t>Roll over</t>
        </is>
      </c>
      <c r="C86" s="14" t="inlineStr">
        <is>
          <t>团队和软件</t>
        </is>
      </c>
      <c r="D86" s="13" t="inlineStr">
        <is>
          <t>P1</t>
        </is>
      </c>
      <c r="E86" s="14" t="inlineStr">
        <is>
          <t>原项目有 Preparer 和 Software</t>
        </is>
      </c>
      <c r="F86" s="14" t="inlineStr">
        <is>
          <t>1. Roll over 时团队选 Copy、软件选 Clear</t>
        </is>
      </c>
      <c r="G86" s="14" t="inlineStr">
        <is>
          <t>新项目团队人员相同，分配日期是今天；软件为空</t>
        </is>
      </c>
      <c r="H86" s="14" t="inlineStr">
        <is>
          <t>§16 团队和软件只在选择带走时复制；分配日期改为当天</t>
        </is>
      </c>
      <c r="I86" s="13" t="inlineStr">
        <is>
          <t>同等</t>
        </is>
      </c>
      <c r="J86" s="13" t="n"/>
      <c r="K86" s="16" t="n"/>
      <c r="L86" s="13" t="n"/>
      <c r="M86" s="14" t="n"/>
    </row>
    <row r="87">
      <c r="A87" s="13" t="inlineStr">
        <is>
          <t>08-06</t>
        </is>
      </c>
      <c r="B87" s="14" t="inlineStr">
        <is>
          <t>Roll over</t>
        </is>
      </c>
      <c r="C87" s="14" t="inlineStr">
        <is>
          <t>归档原项目</t>
        </is>
      </c>
      <c r="D87" s="15" t="inlineStr">
        <is>
          <t>P0</t>
        </is>
      </c>
      <c r="E87" s="14" t="inlineStr">
        <is>
          <t>勾选 1 行</t>
        </is>
      </c>
      <c r="F87" s="14" t="inlineStr">
        <is>
          <t>1. Roll over 时勾选"归档原项目"</t>
        </is>
      </c>
      <c r="G87" s="14" t="inlineStr">
        <is>
          <t>生成新项目；原项目进入 Archived，来源显示 Archived by hand；不触发自动化</t>
        </is>
      </c>
      <c r="H87" s="14" t="inlineStr">
        <is>
          <t>§16 勾选归档原项目：来源 Manual，不跑自动化</t>
        </is>
      </c>
      <c r="I87" s="13" t="inlineStr">
        <is>
          <t>同等</t>
        </is>
      </c>
      <c r="J87" s="13" t="n"/>
      <c r="K87" s="16" t="n"/>
      <c r="L87" s="13" t="n"/>
      <c r="M87" s="14" t="n"/>
    </row>
    <row r="88">
      <c r="A88" s="13" t="inlineStr">
        <is>
          <t>08-07</t>
        </is>
      </c>
      <c r="B88" s="14" t="inlineStr">
        <is>
          <t>Roll over</t>
        </is>
      </c>
      <c r="C88" s="14" t="inlineStr">
        <is>
          <t>Grants 滚到下一年</t>
        </is>
      </c>
      <c r="D88" s="15" t="inlineStr">
        <is>
          <t>P0</t>
        </is>
      </c>
      <c r="E88" s="14" t="inlineStr">
        <is>
          <t>FY 2026 看板勾选 2 行</t>
        </is>
      </c>
      <c r="F88" s="14" t="inlineStr">
        <is>
          <t>1. Roll over，不改目标</t>
        </is>
      </c>
      <c r="G88" s="14" t="inlineStr">
        <is>
          <t>默认目标是 FY 2027；新项目状态 Not started；三个日期、Application Progress、Rebate Amount 默认清空</t>
        </is>
      </c>
      <c r="H88" s="14" t="inlineStr">
        <is>
          <t>§16 Grants 默认下一年的财年看板，状态重置</t>
        </is>
      </c>
      <c r="I88" s="13" t="inlineStr">
        <is>
          <t>同等</t>
        </is>
      </c>
      <c r="J88" s="13" t="n"/>
      <c r="K88" s="16" t="n"/>
      <c r="L88" s="13" t="n"/>
      <c r="M88" s="14" t="n"/>
    </row>
    <row r="89">
      <c r="A89" s="13" t="inlineStr">
        <is>
          <t>08-08</t>
        </is>
      </c>
      <c r="B89" s="14" t="inlineStr">
        <is>
          <t>Roll over</t>
        </is>
      </c>
      <c r="C89" s="14" t="inlineStr">
        <is>
          <t>Grants 留在同一看板</t>
        </is>
      </c>
      <c r="D89" s="13" t="inlineStr">
        <is>
          <t>P2</t>
        </is>
      </c>
      <c r="E89" s="14" t="inlineStr">
        <is>
          <t>同上</t>
        </is>
      </c>
      <c r="F89" s="14" t="inlineStr">
        <is>
          <t>1. Roll over 时把目标改成 FY 2026</t>
        </is>
      </c>
      <c r="G89" s="14" t="inlineStr">
        <is>
          <t>副本生成在 FY 2026</t>
        </is>
      </c>
      <c r="H89" s="14" t="inlineStr">
        <is>
          <t>§8 也可以留在同一块看板</t>
        </is>
      </c>
      <c r="I89" s="13" t="inlineStr">
        <is>
          <t>同等</t>
        </is>
      </c>
      <c r="J89" s="13" t="n"/>
      <c r="K89" s="16" t="n"/>
      <c r="L89" s="13" t="n"/>
      <c r="M89" s="14" t="n"/>
    </row>
    <row r="90">
      <c r="A90" s="13" t="inlineStr">
        <is>
          <t>09-01</t>
        </is>
      </c>
      <c r="B90" s="14" t="inlineStr">
        <is>
          <t>归档、恢复与删除</t>
        </is>
      </c>
      <c r="C90" s="14" t="inlineStr">
        <is>
          <t>手动归档项目</t>
        </is>
      </c>
      <c r="D90" s="15" t="inlineStr">
        <is>
          <t>P0</t>
        </is>
      </c>
      <c r="E90" s="14" t="inlineStr">
        <is>
          <t>勾选 2 行</t>
        </is>
      </c>
      <c r="F90" s="14" t="inlineStr">
        <is>
          <t>1. 批量栏 → Archive → 确认
2. 打开侧边栏 Archived</t>
        </is>
      </c>
      <c r="G90" s="14" t="inlineStr">
        <is>
          <t>2 行从看板消失，出现在 Archived，来源 Archived by hand</t>
        </is>
      </c>
      <c r="H90" s="14" t="inlineStr">
        <is>
          <t>§16 归档项目：来源 Manual，这条保存会跑自动化</t>
        </is>
      </c>
      <c r="I90" s="13" t="inlineStr">
        <is>
          <t>同等</t>
        </is>
      </c>
      <c r="J90" s="13" t="n"/>
      <c r="K90" s="16" t="n"/>
      <c r="L90" s="13" t="n"/>
      <c r="M90" s="14" t="n"/>
    </row>
    <row r="91">
      <c r="A91" s="13" t="inlineStr">
        <is>
          <t>09-02</t>
        </is>
      </c>
      <c r="B91" s="14" t="inlineStr">
        <is>
          <t>归档、恢复与删除</t>
        </is>
      </c>
      <c r="C91" s="14" t="inlineStr">
        <is>
          <t>恢复项目</t>
        </is>
      </c>
      <c r="D91" s="15" t="inlineStr">
        <is>
          <t>P0</t>
        </is>
      </c>
      <c r="E91" s="14" t="inlineStr">
        <is>
          <t>Archived 里有项目</t>
        </is>
      </c>
      <c r="F91" s="14" t="inlineStr">
        <is>
          <t>1. 在 Archived 勾选并恢复</t>
        </is>
      </c>
      <c r="G91" s="14" t="inlineStr">
        <is>
          <t>回到原看板，从 Archived 消失</t>
        </is>
      </c>
      <c r="H91" s="14" t="inlineStr">
        <is>
          <t>§16 恢复项目</t>
        </is>
      </c>
      <c r="I91" s="13" t="inlineStr">
        <is>
          <t>同等</t>
        </is>
      </c>
      <c r="J91" s="13" t="n"/>
      <c r="K91" s="16" t="n"/>
      <c r="L91" s="13" t="n"/>
      <c r="M91" s="14" t="n"/>
    </row>
    <row r="92">
      <c r="A92" s="13" t="inlineStr">
        <is>
          <t>09-03</t>
        </is>
      </c>
      <c r="B92" s="14" t="inlineStr">
        <is>
          <t>归档、恢复与删除</t>
        </is>
      </c>
      <c r="C92" s="14" t="inlineStr">
        <is>
          <t>原看板已归档时恢复</t>
        </is>
      </c>
      <c r="D92" s="13" t="inlineStr">
        <is>
          <t>P1</t>
        </is>
      </c>
      <c r="E92" s="14" t="inlineStr">
        <is>
          <t>某项目被手动归档后，它原来的看板也被归档了</t>
        </is>
      </c>
      <c r="F92" s="14" t="inlineStr">
        <is>
          <t>1. 在 Archived 恢复这个项目</t>
        </is>
      </c>
      <c r="G92" s="14" t="inlineStr">
        <is>
          <t>系统要求先选一块现存看板，选了才恢复；取消则不恢复</t>
        </is>
      </c>
      <c r="H92" s="14" t="inlineStr">
        <is>
          <t>§16 Archived (Holding) 的项目恢复前要另选看板</t>
        </is>
      </c>
      <c r="I92" s="13" t="inlineStr">
        <is>
          <t>同等</t>
        </is>
      </c>
      <c r="J92" s="13" t="n"/>
      <c r="K92" s="16" t="n"/>
      <c r="L92" s="13" t="n"/>
      <c r="M92" s="14" t="n"/>
    </row>
    <row r="93">
      <c r="A93" s="13" t="inlineStr">
        <is>
          <t>09-04</t>
        </is>
      </c>
      <c r="B93" s="14" t="inlineStr">
        <is>
          <t>归档、恢复与删除</t>
        </is>
      </c>
      <c r="C93" s="14" t="inlineStr">
        <is>
          <t>归档看板</t>
        </is>
      </c>
      <c r="D93" s="13" t="inlineStr">
        <is>
          <t>P1</t>
        </is>
      </c>
      <c r="E93" s="14" t="inlineStr">
        <is>
          <t>管理员；新建一块测试看板，放 3 行</t>
        </is>
      </c>
      <c r="F93" s="14" t="inlineStr">
        <is>
          <t>1. 看板菜单 → Archive board
2. 去 Workspace setup → Boards 恢复它</t>
        </is>
      </c>
      <c r="G93" s="14" t="inlineStr">
        <is>
          <t>归档后看板从侧边栏消失，3 行一起归档；恢复后看板和这 3 行原样回来</t>
        </is>
      </c>
      <c r="H93" s="14" t="inlineStr">
        <is>
          <t>§16 删除看板：项目挪到 Archived (Holding)，来源 Type Deleted</t>
        </is>
      </c>
      <c r="I93" s="19" t="inlineStr">
        <is>
          <t>增强</t>
        </is>
      </c>
      <c r="J93" s="13" t="n"/>
      <c r="K93" s="16" t="n"/>
      <c r="L93" s="13" t="n"/>
      <c r="M93" s="14" t="n"/>
    </row>
    <row r="94">
      <c r="A94" s="13" t="inlineStr">
        <is>
          <t>09-05</t>
        </is>
      </c>
      <c r="B94" s="14" t="inlineStr">
        <is>
          <t>归档、恢复与删除</t>
        </is>
      </c>
      <c r="C94" s="14" t="inlineStr">
        <is>
          <t>删除项目连同任务</t>
        </is>
      </c>
      <c r="D94" s="15" t="inlineStr">
        <is>
          <t>P0</t>
        </is>
      </c>
      <c r="E94" s="14" t="inlineStr">
        <is>
          <t>manager 或管理员；项目下有任务和子任务</t>
        </is>
      </c>
      <c r="F94" s="14" t="inlineStr">
        <is>
          <t>1. 勾选该项目 → Delete → 确认
2. 管理员进 Activity 找到这次删除并恢复</t>
        </is>
      </c>
      <c r="G94" s="14" t="inlineStr">
        <is>
          <t>项目和任务都消失；确认框说明会一起删除；恢复后项目和任务都回来</t>
        </is>
      </c>
      <c r="H94" s="14" t="inlineStr">
        <is>
          <t>§16 删除项目连同任务，不能撤销</t>
        </is>
      </c>
      <c r="I94" s="19" t="inlineStr">
        <is>
          <t>增强</t>
        </is>
      </c>
      <c r="J94" s="13" t="n"/>
      <c r="K94" s="16" t="n"/>
      <c r="L94" s="13" t="n"/>
      <c r="M94" s="14" t="n"/>
    </row>
    <row r="95">
      <c r="A95" s="13" t="inlineStr">
        <is>
          <t>10-01</t>
        </is>
      </c>
      <c r="B95" s="14" t="inlineStr">
        <is>
          <t>任务</t>
        </is>
      </c>
      <c r="C95" s="14" t="inlineStr">
        <is>
          <t>查看项目任务</t>
        </is>
      </c>
      <c r="D95" s="15" t="inlineStr">
        <is>
          <t>P0</t>
        </is>
      </c>
      <c r="E95" s="14" t="inlineStr">
        <is>
          <t>项目已有任务</t>
        </is>
      </c>
      <c r="F95" s="14" t="inlineStr">
        <is>
          <t>1. 点项目行打开详情 → Tasks</t>
        </is>
      </c>
      <c r="G95" s="14" t="inlineStr">
        <is>
          <t>列出该项目的任务</t>
        </is>
      </c>
      <c r="H95" s="14" t="inlineStr">
        <is>
          <t>§9 在项目行上展开看任务</t>
        </is>
      </c>
      <c r="I95" s="13" t="inlineStr">
        <is>
          <t>同等</t>
        </is>
      </c>
      <c r="J95" s="13" t="n"/>
      <c r="K95" s="16" t="n"/>
      <c r="L95" s="13" t="n"/>
      <c r="M95" s="14" t="n"/>
    </row>
    <row r="96">
      <c r="A96" s="13" t="inlineStr">
        <is>
          <t>10-02</t>
        </is>
      </c>
      <c r="B96" s="14" t="inlineStr">
        <is>
          <t>任务</t>
        </is>
      </c>
      <c r="C96" s="14" t="inlineStr">
        <is>
          <t>新建任务</t>
        </is>
      </c>
      <c r="D96" s="15" t="inlineStr">
        <is>
          <t>P0</t>
        </is>
      </c>
      <c r="E96" s="14" t="inlineStr">
        <is>
          <t>无</t>
        </is>
      </c>
      <c r="F96" s="14" t="inlineStr">
        <is>
          <t>1. Tasks 里新建一条，填标题、状态、优先级、截止日</t>
        </is>
      </c>
      <c r="G96" s="14" t="inlineStr">
        <is>
          <t>保存成功</t>
        </is>
      </c>
      <c r="H96" s="14" t="inlineStr">
        <is>
          <t>§9 给一个项目新建任务</t>
        </is>
      </c>
      <c r="I96" s="13" t="inlineStr">
        <is>
          <t>同等</t>
        </is>
      </c>
      <c r="J96" s="13" t="n"/>
      <c r="K96" s="16" t="n"/>
      <c r="L96" s="13" t="n"/>
      <c r="M96" s="14" t="n"/>
    </row>
    <row r="97">
      <c r="A97" s="13" t="inlineStr">
        <is>
          <t>10-03</t>
        </is>
      </c>
      <c r="B97" s="14" t="inlineStr">
        <is>
          <t>任务</t>
        </is>
      </c>
      <c r="C97" s="14" t="inlineStr">
        <is>
          <t>批量建任务</t>
        </is>
      </c>
      <c r="D97" s="15" t="inlineStr">
        <is>
          <t>P0</t>
        </is>
      </c>
      <c r="E97" s="14" t="inlineStr">
        <is>
          <t>看板上勾选 3 行</t>
        </is>
      </c>
      <c r="F97" s="14" t="inlineStr">
        <is>
          <t>1. 批量栏 → Add task → 填标题</t>
        </is>
      </c>
      <c r="G97" s="14" t="inlineStr">
        <is>
          <t>3 个项目各多一条同名任务</t>
        </is>
      </c>
      <c r="H97" s="14" t="inlineStr">
        <is>
          <t>§9 给选中的多个项目各建一条任务</t>
        </is>
      </c>
      <c r="I97" s="13" t="inlineStr">
        <is>
          <t>同等</t>
        </is>
      </c>
      <c r="J97" s="13" t="n"/>
      <c r="K97" s="16" t="n"/>
      <c r="L97" s="13" t="n"/>
      <c r="M97" s="14" t="n"/>
    </row>
    <row r="98">
      <c r="A98" s="13" t="inlineStr">
        <is>
          <t>10-04</t>
        </is>
      </c>
      <c r="B98" s="14" t="inlineStr">
        <is>
          <t>任务</t>
        </is>
      </c>
      <c r="C98" s="14" t="inlineStr">
        <is>
          <t>子任务</t>
        </is>
      </c>
      <c r="D98" s="13" t="inlineStr">
        <is>
          <t>P1</t>
        </is>
      </c>
      <c r="E98" s="14" t="inlineStr">
        <is>
          <t>已有任务</t>
        </is>
      </c>
      <c r="F98" s="14" t="inlineStr">
        <is>
          <t>1. 在任务下加子任务</t>
        </is>
      </c>
      <c r="G98" s="14" t="inlineStr">
        <is>
          <t>子任务挂在父任务下显示</t>
        </is>
      </c>
      <c r="H98" s="14" t="inlineStr">
        <is>
          <t>§9 parent_task</t>
        </is>
      </c>
      <c r="I98" s="13" t="inlineStr">
        <is>
          <t>同等</t>
        </is>
      </c>
      <c r="J98" s="13" t="n"/>
      <c r="K98" s="16" t="n"/>
      <c r="L98" s="13" t="n"/>
      <c r="M98" s="14" t="n"/>
    </row>
    <row r="99">
      <c r="A99" s="13" t="inlineStr">
        <is>
          <t>10-05</t>
        </is>
      </c>
      <c r="B99" s="14" t="inlineStr">
        <is>
          <t>任务</t>
        </is>
      </c>
      <c r="C99" s="14" t="inlineStr">
        <is>
          <t>任务状态选项</t>
        </is>
      </c>
      <c r="D99" s="13" t="inlineStr">
        <is>
          <t>P1</t>
        </is>
      </c>
      <c r="E99" s="14" t="inlineStr">
        <is>
          <t>无</t>
        </is>
      </c>
      <c r="F99" s="14" t="inlineStr">
        <is>
          <t>1. 查看任务 Status 下拉</t>
        </is>
      </c>
      <c r="G99" s="14" t="inlineStr">
        <is>
          <t>Not started yet、Working on it、Stuck、Done；新建默认 Not started yet</t>
        </is>
      </c>
      <c r="H99" s="14" t="inlineStr">
        <is>
          <t>§9 Task 状态 4 个，默认 Not started yet</t>
        </is>
      </c>
      <c r="I99" s="13" t="inlineStr">
        <is>
          <t>同等</t>
        </is>
      </c>
      <c r="J99" s="13" t="n"/>
      <c r="K99" s="16" t="n"/>
      <c r="L99" s="13" t="n"/>
      <c r="M99" s="14" t="n"/>
    </row>
    <row r="100">
      <c r="A100" s="13" t="inlineStr">
        <is>
          <t>10-06</t>
        </is>
      </c>
      <c r="B100" s="14" t="inlineStr">
        <is>
          <t>任务</t>
        </is>
      </c>
      <c r="C100" s="14" t="inlineStr">
        <is>
          <t>任务人员</t>
        </is>
      </c>
      <c r="D100" s="13" t="inlineStr">
        <is>
          <t>P1</t>
        </is>
      </c>
      <c r="E100" s="14" t="inlineStr">
        <is>
          <t>已有任务</t>
        </is>
      </c>
      <c r="F100" s="14" t="inlineStr">
        <is>
          <t>1. 给任务加人并选角色</t>
        </is>
      </c>
      <c r="G100" s="14" t="inlineStr">
        <is>
          <t>保存成功，角色选项与项目团队相同</t>
        </is>
      </c>
      <c r="H100" s="14" t="inlineStr">
        <is>
          <t>§9 custom_task_members</t>
        </is>
      </c>
      <c r="I100" s="13" t="inlineStr">
        <is>
          <t>同等</t>
        </is>
      </c>
      <c r="J100" s="13" t="n"/>
      <c r="K100" s="16" t="n"/>
      <c r="L100" s="13" t="n"/>
      <c r="M100" s="14" t="n"/>
    </row>
    <row r="101">
      <c r="A101" s="13" t="inlineStr">
        <is>
          <t>10-07</t>
        </is>
      </c>
      <c r="B101" s="14" t="inlineStr">
        <is>
          <t>任务</t>
        </is>
      </c>
      <c r="C101" s="14" t="inlineStr">
        <is>
          <t>任务财年和期间</t>
        </is>
      </c>
      <c r="D101" s="13" t="inlineStr">
        <is>
          <t>P2</t>
        </is>
      </c>
      <c r="E101" s="14" t="inlineStr">
        <is>
          <t>已有任务</t>
        </is>
      </c>
      <c r="F101" s="14" t="inlineStr">
        <is>
          <t>1. 给任务设财年和期间文字（如 Q1）</t>
        </is>
      </c>
      <c r="G101" s="14" t="inlineStr">
        <is>
          <t>保存成功</t>
        </is>
      </c>
      <c r="H101" s="14" t="inlineStr">
        <is>
          <t>§9 custom_fiscal_year、custom_period</t>
        </is>
      </c>
      <c r="I101" s="20" t="inlineStr">
        <is>
          <t>待确认</t>
        </is>
      </c>
      <c r="J101" s="13" t="n"/>
      <c r="K101" s="16" t="n"/>
      <c r="L101" s="13" t="n"/>
      <c r="M101" s="14" t="n"/>
    </row>
    <row r="102">
      <c r="A102" s="13" t="inlineStr">
        <is>
          <t>10-08</t>
        </is>
      </c>
      <c r="B102" s="14" t="inlineStr">
        <is>
          <t>任务</t>
        </is>
      </c>
      <c r="C102" s="14" t="inlineStr">
        <is>
          <t>删除任务含子任务</t>
        </is>
      </c>
      <c r="D102" s="13" t="inlineStr">
        <is>
          <t>P1</t>
        </is>
      </c>
      <c r="E102" s="14" t="inlineStr">
        <is>
          <t>任务下有子任务</t>
        </is>
      </c>
      <c r="F102" s="14" t="inlineStr">
        <is>
          <t>1. 删除父任务</t>
        </is>
      </c>
      <c r="G102" s="14" t="inlineStr">
        <is>
          <t>父任务和子任务一起删除</t>
        </is>
      </c>
      <c r="H102" s="14" t="inlineStr">
        <is>
          <t>§9 删除任务，可选连同子任务</t>
        </is>
      </c>
      <c r="I102" s="13" t="inlineStr">
        <is>
          <t>同等</t>
        </is>
      </c>
      <c r="J102" s="13" t="n"/>
      <c r="K102" s="16" t="n"/>
      <c r="L102" s="13" t="n"/>
      <c r="M102" s="14" t="n"/>
    </row>
    <row r="103">
      <c r="A103" s="13" t="inlineStr">
        <is>
          <t>11-01</t>
        </is>
      </c>
      <c r="B103" s="14" t="inlineStr">
        <is>
          <t>看板设置与配置</t>
        </is>
      </c>
      <c r="C103" s="14" t="inlineStr">
        <is>
          <t>看板只启用部分状态</t>
        </is>
      </c>
      <c r="D103" s="15" t="inlineStr">
        <is>
          <t>P0</t>
        </is>
      </c>
      <c r="E103" s="14" t="inlineStr">
        <is>
          <t>管理员</t>
        </is>
      </c>
      <c r="F103" s="14" t="inlineStr">
        <is>
          <t>1. 看板菜单 → Board settings → 只勾选 5 个状态
2. 点该看板某行 Status</t>
        </is>
      </c>
      <c r="G103" s="14" t="inlineStr">
        <is>
          <t>下拉只显示这 5 个</t>
        </is>
      </c>
      <c r="H103" s="14" t="inlineStr">
        <is>
          <t>§10 每块看板只启用状态池的一部分</t>
        </is>
      </c>
      <c r="I103" s="13" t="inlineStr">
        <is>
          <t>同等</t>
        </is>
      </c>
      <c r="J103" s="13" t="n"/>
      <c r="K103" s="16" t="n"/>
      <c r="L103" s="13" t="n"/>
      <c r="M103" s="14" t="n"/>
    </row>
    <row r="104">
      <c r="A104" s="13" t="inlineStr">
        <is>
          <t>11-02</t>
        </is>
      </c>
      <c r="B104" s="14" t="inlineStr">
        <is>
          <t>看板设置与配置</t>
        </is>
      </c>
      <c r="C104" s="14" t="inlineStr">
        <is>
          <t>看板只显示部分字段</t>
        </is>
      </c>
      <c r="D104" s="13" t="inlineStr">
        <is>
          <t>P2</t>
        </is>
      </c>
      <c r="E104" s="14" t="inlineStr">
        <is>
          <t>管理员</t>
        </is>
      </c>
      <c r="F104" s="14" t="inlineStr">
        <is>
          <t>1. Board settings 里限定字段</t>
        </is>
      </c>
      <c r="G104" s="14" t="inlineStr">
        <is>
          <t>该看板只能选这些列</t>
        </is>
      </c>
      <c r="H104" s="14" t="inlineStr">
        <is>
          <t>老系统没有</t>
        </is>
      </c>
      <c r="I104" s="17" t="inlineStr">
        <is>
          <t>新增</t>
        </is>
      </c>
      <c r="J104" s="13" t="n"/>
      <c r="K104" s="16" t="n"/>
      <c r="L104" s="13" t="n"/>
      <c r="M104" s="14" t="n"/>
    </row>
    <row r="105">
      <c r="A105" s="13" t="inlineStr">
        <is>
          <t>11-03</t>
        </is>
      </c>
      <c r="B105" s="14" t="inlineStr">
        <is>
          <t>看板设置与配置</t>
        </is>
      </c>
      <c r="C105" s="14" t="inlineStr">
        <is>
          <t>调整看板顺序</t>
        </is>
      </c>
      <c r="D105" s="13" t="inlineStr">
        <is>
          <t>P1</t>
        </is>
      </c>
      <c r="E105" s="14" t="inlineStr">
        <is>
          <t>管理员</t>
        </is>
      </c>
      <c r="F105" s="14" t="inlineStr">
        <is>
          <t>1. Workspace setup → Boards，拖动顺序</t>
        </is>
      </c>
      <c r="G105" s="14" t="inlineStr">
        <is>
          <t>侧边栏顺序跟着变</t>
        </is>
      </c>
      <c r="H105" s="14" t="inlineStr">
        <is>
          <t>§10 调整看板在侧边栏的顺序</t>
        </is>
      </c>
      <c r="I105" s="13" t="inlineStr">
        <is>
          <t>同等</t>
        </is>
      </c>
      <c r="J105" s="13" t="n"/>
      <c r="K105" s="16" t="n"/>
      <c r="L105" s="13" t="n"/>
      <c r="M105" s="14" t="n"/>
    </row>
    <row r="106">
      <c r="A106" s="13" t="inlineStr">
        <is>
          <t>11-04</t>
        </is>
      </c>
      <c r="B106" s="14" t="inlineStr">
        <is>
          <t>看板设置与配置</t>
        </is>
      </c>
      <c r="C106" s="14" t="inlineStr">
        <is>
          <t>新建看板</t>
        </is>
      </c>
      <c r="D106" s="15" t="inlineStr">
        <is>
          <t>P0</t>
        </is>
      </c>
      <c r="E106" s="14" t="inlineStr">
        <is>
          <t>管理员</t>
        </is>
      </c>
      <c r="F106" s="14" t="inlineStr">
        <is>
          <t>1. 侧边栏 New board，填名称</t>
        </is>
      </c>
      <c r="G106" s="14" t="inlineStr">
        <is>
          <t>新看板出现在侧边栏，可以建项目</t>
        </is>
      </c>
      <c r="H106" s="14" t="inlineStr">
        <is>
          <t>§4 管理员可以新建 Project Type</t>
        </is>
      </c>
      <c r="I106" s="13" t="inlineStr">
        <is>
          <t>同等</t>
        </is>
      </c>
      <c r="J106" s="13" t="n"/>
      <c r="K106" s="16" t="n"/>
      <c r="L106" s="13" t="n"/>
      <c r="M106" s="14" t="n"/>
    </row>
    <row r="107">
      <c r="A107" s="13" t="inlineStr">
        <is>
          <t>11-05</t>
        </is>
      </c>
      <c r="B107" s="14" t="inlineStr">
        <is>
          <t>看板设置与配置</t>
        </is>
      </c>
      <c r="C107" s="14" t="inlineStr">
        <is>
          <t>维护状态池</t>
        </is>
      </c>
      <c r="D107" s="13" t="inlineStr">
        <is>
          <t>P1</t>
        </is>
      </c>
      <c r="E107" s="14" t="inlineStr">
        <is>
          <t>管理员</t>
        </is>
      </c>
      <c r="F107" s="14" t="inlineStr">
        <is>
          <t>1. Workspace setup → Statuses，新增一个状态，设颜色和类别
2. 改一个状态的名称</t>
        </is>
      </c>
      <c r="G107" s="14" t="inlineStr">
        <is>
          <t>看板下拉里出现新状态；改名后已有项目显示新名称</t>
        </is>
      </c>
      <c r="H107" s="14" t="inlineStr">
        <is>
          <t>§10 状态池由 Property Setter 改</t>
        </is>
      </c>
      <c r="I107" s="19" t="inlineStr">
        <is>
          <t>增强</t>
        </is>
      </c>
      <c r="J107" s="13" t="n"/>
      <c r="K107" s="16" t="n"/>
      <c r="L107" s="13" t="n"/>
      <c r="M107" s="14" t="n"/>
    </row>
    <row r="108">
      <c r="A108" s="13" t="inlineStr">
        <is>
          <t>11-06</t>
        </is>
      </c>
      <c r="B108" s="14" t="inlineStr">
        <is>
          <t>看板设置与配置</t>
        </is>
      </c>
      <c r="C108" s="14" t="inlineStr">
        <is>
          <t>新增字段（零代码）</t>
        </is>
      </c>
      <c r="D108" s="13" t="inlineStr">
        <is>
          <t>P1</t>
        </is>
      </c>
      <c r="E108" s="14" t="inlineStr">
        <is>
          <t>管理员</t>
        </is>
      </c>
      <c r="F108" s="14" t="inlineStr">
        <is>
          <t>1. Workspace setup → Fields，新增一个 Select 字段
2. 回看板</t>
        </is>
      </c>
      <c r="G108" s="14" t="inlineStr">
        <is>
          <t>新列可用，可编辑、筛选、排序</t>
        </is>
      </c>
      <c r="H108" s="14" t="inlineStr">
        <is>
          <t>老系统加字段要改代码</t>
        </is>
      </c>
      <c r="I108" s="17" t="inlineStr">
        <is>
          <t>新增</t>
        </is>
      </c>
      <c r="J108" s="13" t="n"/>
      <c r="K108" s="16" t="n"/>
      <c r="L108" s="13" t="n"/>
      <c r="M108" s="14" t="n"/>
    </row>
    <row r="109">
      <c r="A109" s="13" t="inlineStr">
        <is>
          <t>11-07</t>
        </is>
      </c>
      <c r="B109" s="14" t="inlineStr">
        <is>
          <t>看板设置与配置</t>
        </is>
      </c>
      <c r="C109" s="14" t="inlineStr">
        <is>
          <t>维护团队角色</t>
        </is>
      </c>
      <c r="D109" s="13" t="inlineStr">
        <is>
          <t>P2</t>
        </is>
      </c>
      <c r="E109" s="14" t="inlineStr">
        <is>
          <t>管理员</t>
        </is>
      </c>
      <c r="F109" s="14" t="inlineStr">
        <is>
          <t>1. Workspace setup → Team roles，新增一个角色</t>
        </is>
      </c>
      <c r="G109" s="14" t="inlineStr">
        <is>
          <t>项目团队里可以选这个角色</t>
        </is>
      </c>
      <c r="H109" s="14" t="inlineStr">
        <is>
          <t>§6 角色是固定选项</t>
        </is>
      </c>
      <c r="I109" s="19" t="inlineStr">
        <is>
          <t>增强</t>
        </is>
      </c>
      <c r="J109" s="13" t="n"/>
      <c r="K109" s="16" t="n"/>
      <c r="L109" s="13" t="n"/>
      <c r="M109" s="14" t="n"/>
    </row>
    <row r="110">
      <c r="A110" s="13" t="inlineStr">
        <is>
          <t>11-08</t>
        </is>
      </c>
      <c r="B110" s="14" t="inlineStr">
        <is>
          <t>看板设置与配置</t>
        </is>
      </c>
      <c r="C110" s="14" t="inlineStr">
        <is>
          <t>维护软件、公司名单</t>
        </is>
      </c>
      <c r="D110" s="13" t="inlineStr">
        <is>
          <t>P1</t>
        </is>
      </c>
      <c r="E110" s="14" t="inlineStr">
        <is>
          <t>管理员</t>
        </is>
      </c>
      <c r="F110" s="14" t="inlineStr">
        <is>
          <t>1. Settings 里的主数据：新增软件，停用一个旧软件，给 QuickBooks 加别名</t>
        </is>
      </c>
      <c r="G110" s="14" t="inlineStr">
        <is>
          <t>新软件可选；停用的不再出现在新选项里但旧数据保留</t>
        </is>
      </c>
      <c r="H110" s="14" t="inlineStr">
        <is>
          <t>§6 Software 是可维护的名单</t>
        </is>
      </c>
      <c r="I110" s="13" t="inlineStr">
        <is>
          <t>同等</t>
        </is>
      </c>
      <c r="J110" s="13" t="n"/>
      <c r="K110" s="16" t="n"/>
      <c r="L110" s="13" t="n"/>
      <c r="M110" s="14" t="n"/>
    </row>
    <row r="111">
      <c r="A111" s="13" t="inlineStr">
        <is>
          <t>12-01</t>
        </is>
      </c>
      <c r="B111" s="14" t="inlineStr">
        <is>
          <t>自动化</t>
        </is>
      </c>
      <c r="C111" s="14" t="inlineStr">
        <is>
          <t>规则列表和搜索</t>
        </is>
      </c>
      <c r="D111" s="15" t="inlineStr">
        <is>
          <t>P0</t>
        </is>
      </c>
      <c r="E111" s="14" t="inlineStr">
        <is>
          <t>manager 或管理员</t>
        </is>
      </c>
      <c r="F111" s="14" t="inlineStr">
        <is>
          <t>1. Automations 页面
2. 按名字搜索</t>
        </is>
      </c>
      <c r="G111" s="14" t="inlineStr">
        <is>
          <t>只列出当前产品线的规则；搜索可用</t>
        </is>
      </c>
      <c r="H111" s="14" t="inlineStr">
        <is>
          <t>§11 按当前模块列出规则、按名字搜索</t>
        </is>
      </c>
      <c r="I111" s="13" t="inlineStr">
        <is>
          <t>同等</t>
        </is>
      </c>
      <c r="J111" s="13" t="n"/>
      <c r="K111" s="16" t="n"/>
      <c r="L111" s="13" t="n"/>
      <c r="M111" s="14" t="n"/>
    </row>
    <row r="112">
      <c r="A112" s="13" t="inlineStr">
        <is>
          <t>12-02</t>
        </is>
      </c>
      <c r="B112" s="14" t="inlineStr">
        <is>
          <t>自动化</t>
        </is>
      </c>
      <c r="C112" s="14" t="inlineStr">
        <is>
          <t>新建、启用、停用、删除</t>
        </is>
      </c>
      <c r="D112" s="15" t="inlineStr">
        <is>
          <t>P0</t>
        </is>
      </c>
      <c r="E112" s="14" t="inlineStr">
        <is>
          <t>同上</t>
        </is>
      </c>
      <c r="F112" s="14" t="inlineStr">
        <is>
          <t>1. 新建一条规则并保存
2. 停用 → 启用 → 删除</t>
        </is>
      </c>
      <c r="G112" s="14" t="inlineStr">
        <is>
          <t>每一步都生效；停用时不再触发</t>
        </is>
      </c>
      <c r="H112" s="14" t="inlineStr">
        <is>
          <t>§11 新建、修改、启用、停用、删除</t>
        </is>
      </c>
      <c r="I112" s="13" t="inlineStr">
        <is>
          <t>同等</t>
        </is>
      </c>
      <c r="J112" s="13" t="n"/>
      <c r="K112" s="16" t="n"/>
      <c r="L112" s="13" t="n"/>
      <c r="M112" s="14" t="n"/>
    </row>
    <row r="113">
      <c r="A113" s="13" t="inlineStr">
        <is>
          <t>12-03</t>
        </is>
      </c>
      <c r="B113" s="14" t="inlineStr">
        <is>
          <t>自动化</t>
        </is>
      </c>
      <c r="C113" s="14" t="inlineStr">
        <is>
          <t>状态变成 → 改状态/通知</t>
        </is>
      </c>
      <c r="D113" s="15" t="inlineStr">
        <is>
          <t>P0</t>
        </is>
      </c>
      <c r="E113" s="14" t="inlineStr">
        <is>
          <t>规则：Status 变成 Ready for manager review 时，通知 Manager</t>
        </is>
      </c>
      <c r="F113" s="14" t="inlineStr">
        <is>
          <t>1. 把某行状态改成 Ready for manager review
2. 用该行 Manager 的账号看右上角铃铛</t>
        </is>
      </c>
      <c r="G113" s="14" t="inlineStr">
        <is>
          <t>Manager 收到通知；Automation logs 有一条成功记录</t>
        </is>
      </c>
      <c r="H113" s="14" t="inlineStr">
        <is>
          <t>§11 Status changes to + Notify someone</t>
        </is>
      </c>
      <c r="I113" s="13" t="inlineStr">
        <is>
          <t>同等</t>
        </is>
      </c>
      <c r="J113" s="13" t="n"/>
      <c r="K113" s="16" t="n"/>
      <c r="L113" s="13" t="n"/>
      <c r="M113" s="14" t="n"/>
    </row>
    <row r="114">
      <c r="A114" s="13" t="inlineStr">
        <is>
          <t>12-04</t>
        </is>
      </c>
      <c r="B114" s="14" t="inlineStr">
        <is>
          <t>自动化</t>
        </is>
      </c>
      <c r="C114" s="14" t="inlineStr">
        <is>
          <t>附加条件（状态是/看板是）</t>
        </is>
      </c>
      <c r="D114" s="13" t="inlineStr">
        <is>
          <t>P1</t>
        </is>
      </c>
      <c r="E114" s="14" t="inlineStr">
        <is>
          <t>规则：Status 变成 X，且条件里加"看板是 BAS"</t>
        </is>
      </c>
      <c r="F114" s="14" t="inlineStr">
        <is>
          <t>1. 在 BAS 和 ITR 各改一行状态为 X</t>
        </is>
      </c>
      <c r="G114" s="14" t="inlineStr">
        <is>
          <t>只有 BAS 那行触发</t>
        </is>
      </c>
      <c r="H114" s="14" t="inlineStr">
        <is>
          <t>§11 Status is、Project type is 作为附加条件</t>
        </is>
      </c>
      <c r="I114" s="13" t="inlineStr">
        <is>
          <t>同等</t>
        </is>
      </c>
      <c r="J114" s="13" t="n"/>
      <c r="K114" s="16" t="n"/>
      <c r="L114" s="13" t="n"/>
      <c r="M114" s="14" t="n"/>
    </row>
    <row r="115">
      <c r="A115" s="13" t="inlineStr">
        <is>
          <t>12-05</t>
        </is>
      </c>
      <c r="B115" s="14" t="inlineStr">
        <is>
          <t>自动化</t>
        </is>
      </c>
      <c r="C115" s="14" t="inlineStr">
        <is>
          <t>日期到了 → 按频率推 Lodgement Due</t>
        </is>
      </c>
      <c r="D115" s="15" t="inlineStr">
        <is>
          <t>P0</t>
        </is>
      </c>
      <c r="E115" s="14" t="inlineStr">
        <is>
          <t>规则：Lodgement Due 到了（当天或之后）→ Push a date forward：Lodgement Due 按频率；一行 Frequency=Quarterly、Lodgement Due=今天</t>
        </is>
      </c>
      <c r="F115" s="14" t="inlineStr">
        <is>
          <t>1. 让日期任务跑一次（管理员在服务器执行：python -m app.cli run-job automations.date_rules；或等整点）
2. 看这一行</t>
        </is>
      </c>
      <c r="G115" s="14" t="inlineStr">
        <is>
          <t>Lodgement Due 往后推 3 个月；Automation logs 记录了前后值</t>
        </is>
      </c>
      <c r="H115" s="14" t="inlineStr">
        <is>
          <t>§11 Date reaches + Roll Lodgement Due forward by frequency；每小时跑一次</t>
        </is>
      </c>
      <c r="I115" s="13" t="inlineStr">
        <is>
          <t>同等</t>
        </is>
      </c>
      <c r="J115" s="13" t="n"/>
      <c r="K115" s="16" t="n"/>
      <c r="L115" s="13" t="n"/>
      <c r="M115" s="14" t="n"/>
    </row>
    <row r="116">
      <c r="A116" s="13" t="inlineStr">
        <is>
          <t>12-06</t>
        </is>
      </c>
      <c r="B116" s="14" t="inlineStr">
        <is>
          <t>自动化</t>
        </is>
      </c>
      <c r="C116" s="14" t="inlineStr">
        <is>
          <t>按固定间隔推日期</t>
        </is>
      </c>
      <c r="D116" s="13" t="inlineStr">
        <is>
          <t>P1</t>
        </is>
      </c>
      <c r="E116" s="14" t="inlineStr">
        <is>
          <t>同上类规则，改为推 1 周 / 2 周 / 1 月 / 1 季 / 1 年，也试 Target Month</t>
        </is>
      </c>
      <c r="F116" s="14" t="inlineStr">
        <is>
          <t>1. 逐个试</t>
        </is>
      </c>
      <c r="G116" s="14" t="inlineStr">
        <is>
          <t>推的长度正确；月份字段 12 月往后推会回到 1 月</t>
        </is>
      </c>
      <c r="H116" s="14" t="inlineStr">
        <is>
          <t>§11 Push a date：频率、一周、两周、一月、一季、一年</t>
        </is>
      </c>
      <c r="I116" s="13" t="inlineStr">
        <is>
          <t>同等</t>
        </is>
      </c>
      <c r="J116" s="13" t="n"/>
      <c r="K116" s="16" t="n"/>
      <c r="L116" s="13" t="n"/>
      <c r="M116" s="14" t="n"/>
    </row>
    <row r="117">
      <c r="A117" s="13" t="inlineStr">
        <is>
          <t>12-07</t>
        </is>
      </c>
      <c r="B117" s="14" t="inlineStr">
        <is>
          <t>自动化</t>
        </is>
      </c>
      <c r="C117" s="14" t="inlineStr">
        <is>
          <t>日期到了 → 重置状态</t>
        </is>
      </c>
      <c r="D117" s="13" t="inlineStr">
        <is>
          <t>P1</t>
        </is>
      </c>
      <c r="E117" s="14" t="inlineStr">
        <is>
          <t>规则：Reset Date 到了 → 状态设为 Not started</t>
        </is>
      </c>
      <c r="F117" s="14" t="inlineStr">
        <is>
          <t>1. 一行 Reset Date=今天，跑日期任务</t>
        </is>
      </c>
      <c r="G117" s="14" t="inlineStr">
        <is>
          <t>状态变成 Not started</t>
        </is>
      </c>
      <c r="H117" s="14" t="inlineStr">
        <is>
          <t>§11 Reset status to</t>
        </is>
      </c>
      <c r="I117" s="13" t="inlineStr">
        <is>
          <t>同等</t>
        </is>
      </c>
      <c r="J117" s="13" t="n"/>
      <c r="K117" s="16" t="n"/>
      <c r="L117" s="13" t="n"/>
      <c r="M117" s="14" t="n"/>
    </row>
    <row r="118">
      <c r="A118" s="13" t="inlineStr">
        <is>
          <t>12-08</t>
        </is>
      </c>
      <c r="B118" s="14" t="inlineStr">
        <is>
          <t>自动化</t>
        </is>
      </c>
      <c r="C118" s="14" t="inlineStr">
        <is>
          <t>自动归档</t>
        </is>
      </c>
      <c r="D118" s="13" t="inlineStr">
        <is>
          <t>P1</t>
        </is>
      </c>
      <c r="E118" s="14" t="inlineStr">
        <is>
          <t>规则：状态变成 Completed → Archive the item</t>
        </is>
      </c>
      <c r="F118" s="14" t="inlineStr">
        <is>
          <t>1. 把一行改成 Completed</t>
        </is>
      </c>
      <c r="G118" s="14" t="inlineStr">
        <is>
          <t>该行进入 Archived，来源显示 Archived by automation</t>
        </is>
      </c>
      <c r="H118" s="14" t="inlineStr">
        <is>
          <t>§11 Archive project；来源 Automation</t>
        </is>
      </c>
      <c r="I118" s="13" t="inlineStr">
        <is>
          <t>同等</t>
        </is>
      </c>
      <c r="J118" s="13" t="n"/>
      <c r="K118" s="16" t="n"/>
      <c r="L118" s="13" t="n"/>
      <c r="M118" s="14" t="n"/>
    </row>
    <row r="119">
      <c r="A119" s="13" t="inlineStr">
        <is>
          <t>12-09</t>
        </is>
      </c>
      <c r="B119" s="14" t="inlineStr">
        <is>
          <t>自动化</t>
        </is>
      </c>
      <c r="C119" s="14" t="inlineStr">
        <is>
          <t>Grants 日期临近 → 高亮</t>
        </is>
      </c>
      <c r="D119" s="15" t="inlineStr">
        <is>
          <t>P0</t>
        </is>
      </c>
      <c r="E119" s="14" t="inlineStr">
        <is>
          <t>规则：Portal Access Expiry 提前 1 个月 → Highlight row 红色；客户的 Portal Access Expiry = 今天 + 1 个月</t>
        </is>
      </c>
      <c r="F119" s="14" t="inlineStr">
        <is>
          <t>1. 跑日期任务
2. 打开 Grants 看板</t>
        </is>
      </c>
      <c r="G119" s="14" t="inlineStr">
        <is>
          <t>那一行显示红色高亮；Automation logs 有记录</t>
        </is>
      </c>
      <c r="H119" s="14" t="inlineStr">
        <is>
          <t>§11 Date is approaching（提前月/周/天）+ Highlight row</t>
        </is>
      </c>
      <c r="I119" s="13" t="inlineStr">
        <is>
          <t>同等</t>
        </is>
      </c>
      <c r="J119" s="13" t="n"/>
      <c r="K119" s="16" t="n"/>
      <c r="L119" s="13" t="n"/>
      <c r="M119" s="14" t="n"/>
    </row>
    <row r="120">
      <c r="A120" s="13" t="inlineStr">
        <is>
          <t>12-10</t>
        </is>
      </c>
      <c r="B120" s="14" t="inlineStr">
        <is>
          <t>自动化</t>
        </is>
      </c>
      <c r="C120" s="14" t="inlineStr">
        <is>
          <t>日期到了 → 清除高亮</t>
        </is>
      </c>
      <c r="D120" s="13" t="inlineStr">
        <is>
          <t>P1</t>
        </is>
      </c>
      <c r="E120" s="14" t="inlineStr">
        <is>
          <t>规则：某日期到了 → Clear row highlight</t>
        </is>
      </c>
      <c r="F120" s="14" t="inlineStr">
        <is>
          <t>1. 对已高亮的一行触发</t>
        </is>
      </c>
      <c r="G120" s="14" t="inlineStr">
        <is>
          <t>高亮消失</t>
        </is>
      </c>
      <c r="H120" s="14" t="inlineStr">
        <is>
          <t>§11 Clear highlight</t>
        </is>
      </c>
      <c r="I120" s="13" t="inlineStr">
        <is>
          <t>同等</t>
        </is>
      </c>
      <c r="J120" s="13" t="n"/>
      <c r="K120" s="16" t="n"/>
      <c r="L120" s="13" t="n"/>
      <c r="M120" s="14" t="n"/>
    </row>
    <row r="121">
      <c r="A121" s="13" t="inlineStr">
        <is>
          <t>12-11</t>
        </is>
      </c>
      <c r="B121" s="14" t="inlineStr">
        <is>
          <t>自动化</t>
        </is>
      </c>
      <c r="C121" s="14" t="inlineStr">
        <is>
          <t>同一日期只触发一次</t>
        </is>
      </c>
      <c r="D121" s="13" t="inlineStr">
        <is>
          <t>P1</t>
        </is>
      </c>
      <c r="E121" s="14" t="inlineStr">
        <is>
          <t>已触发过的日期规则</t>
        </is>
      </c>
      <c r="F121" s="14" t="inlineStr">
        <is>
          <t>1. 再跑一次日期任务</t>
        </is>
      </c>
      <c r="G121" s="14" t="inlineStr">
        <is>
          <t>同一行同一日期不会重复执行（不会再推一次日期）</t>
        </is>
      </c>
      <c r="H121" s="14" t="inlineStr">
        <is>
          <t>隐含要求：不能重复触发</t>
        </is>
      </c>
      <c r="I121" s="13" t="inlineStr">
        <is>
          <t>同等</t>
        </is>
      </c>
      <c r="J121" s="13" t="n"/>
      <c r="K121" s="16" t="n"/>
      <c r="L121" s="13" t="n"/>
      <c r="M121" s="14" t="n"/>
    </row>
    <row r="122">
      <c r="A122" s="13" t="inlineStr">
        <is>
          <t>12-12</t>
        </is>
      </c>
      <c r="B122" s="14" t="inlineStr">
        <is>
          <t>自动化</t>
        </is>
      </c>
      <c r="C122" s="14" t="inlineStr">
        <is>
          <t>预览命中哪些行</t>
        </is>
      </c>
      <c r="D122" s="13" t="inlineStr">
        <is>
          <t>P2</t>
        </is>
      </c>
      <c r="E122" s="14" t="inlineStr">
        <is>
          <t>编辑规则时</t>
        </is>
      </c>
      <c r="F122" s="14" t="inlineStr">
        <is>
          <t>1. 点预览</t>
        </is>
      </c>
      <c r="G122" s="14" t="inlineStr">
        <is>
          <t>列出当前会命中的项目</t>
        </is>
      </c>
      <c r="H122" s="14" t="inlineStr">
        <is>
          <t>老系统没有</t>
        </is>
      </c>
      <c r="I122" s="17" t="inlineStr">
        <is>
          <t>新增</t>
        </is>
      </c>
      <c r="J122" s="13" t="n"/>
      <c r="K122" s="16" t="n"/>
      <c r="L122" s="13" t="n"/>
      <c r="M122" s="14" t="n"/>
    </row>
    <row r="123">
      <c r="A123" s="13" t="inlineStr">
        <is>
          <t>12-13</t>
        </is>
      </c>
      <c r="B123" s="14" t="inlineStr">
        <is>
          <t>自动化</t>
        </is>
      </c>
      <c r="C123" s="14" t="inlineStr">
        <is>
          <t>运行日志</t>
        </is>
      </c>
      <c r="D123" s="15" t="inlineStr">
        <is>
          <t>P0</t>
        </is>
      </c>
      <c r="E123" s="14" t="inlineStr">
        <is>
          <t>已有若干次运行</t>
        </is>
      </c>
      <c r="F123" s="14" t="inlineStr">
        <is>
          <t>1. 打开 Automation logs</t>
        </is>
      </c>
      <c r="G123" s="14" t="inlineStr">
        <is>
          <t>每次运行显示：规则、项目、时间、来源、成功/失败、改了哪些字段（前值→后值）；失败显示原因</t>
        </is>
      </c>
      <c r="H123" s="14" t="inlineStr">
        <is>
          <t>§11 Automation Run Log 和 Change 子表</t>
        </is>
      </c>
      <c r="I123" s="13" t="inlineStr">
        <is>
          <t>同等</t>
        </is>
      </c>
      <c r="J123" s="13" t="n"/>
      <c r="K123" s="16" t="n"/>
      <c r="L123" s="13" t="n"/>
      <c r="M123" s="14" t="n"/>
    </row>
    <row r="124">
      <c r="A124" s="13" t="inlineStr">
        <is>
          <t>12-14</t>
        </is>
      </c>
      <c r="B124" s="14" t="inlineStr">
        <is>
          <t>自动化</t>
        </is>
      </c>
      <c r="C124" s="14" t="inlineStr">
        <is>
          <t>撤销一次运行</t>
        </is>
      </c>
      <c r="D124" s="13" t="inlineStr">
        <is>
          <t>P1</t>
        </is>
      </c>
      <c r="E124" s="14" t="inlineStr">
        <is>
          <t>已有一次改过字段的运行</t>
        </is>
      </c>
      <c r="F124" s="14" t="inlineStr">
        <is>
          <t>1. 在 Automation logs 点 Undo</t>
        </is>
      </c>
      <c r="G124" s="14" t="inlineStr">
        <is>
          <t>被改的字段恢复原值</t>
        </is>
      </c>
      <c r="H124" s="14" t="inlineStr">
        <is>
          <t>老系统没有</t>
        </is>
      </c>
      <c r="I124" s="17" t="inlineStr">
        <is>
          <t>新增</t>
        </is>
      </c>
      <c r="J124" s="13" t="n"/>
      <c r="K124" s="16" t="n"/>
      <c r="L124" s="13" t="n"/>
      <c r="M124" s="14" t="n"/>
    </row>
    <row r="125">
      <c r="A125" s="13" t="inlineStr">
        <is>
          <t>12-15</t>
        </is>
      </c>
      <c r="B125" s="14" t="inlineStr">
        <is>
          <t>自动化</t>
        </is>
      </c>
      <c r="C125" s="14" t="inlineStr">
        <is>
          <t>新建时触发、自动建任务</t>
        </is>
      </c>
      <c r="D125" s="13" t="inlineStr">
        <is>
          <t>P2</t>
        </is>
      </c>
      <c r="E125" s="14" t="inlineStr">
        <is>
          <t>规则：Item is created → Create a task</t>
        </is>
      </c>
      <c r="F125" s="14" t="inlineStr">
        <is>
          <t>1. 新建一个项目</t>
        </is>
      </c>
      <c r="G125" s="14" t="inlineStr">
        <is>
          <t>该项目自动多一条任务</t>
        </is>
      </c>
      <c r="H125" s="14" t="inlineStr">
        <is>
          <t>老系统没有</t>
        </is>
      </c>
      <c r="I125" s="17" t="inlineStr">
        <is>
          <t>新增</t>
        </is>
      </c>
      <c r="J125" s="13" t="n"/>
      <c r="K125" s="16" t="n"/>
      <c r="L125" s="13" t="n"/>
      <c r="M125" s="14" t="n"/>
    </row>
    <row r="126">
      <c r="A126" s="13" t="inlineStr">
        <is>
          <t>13-01</t>
        </is>
      </c>
      <c r="B126" s="14" t="inlineStr">
        <is>
          <t>通知与 Updates</t>
        </is>
      </c>
      <c r="C126" s="14" t="inlineStr">
        <is>
          <t>新增/编辑/删除 Update</t>
        </is>
      </c>
      <c r="D126" s="15" t="inlineStr">
        <is>
          <t>P0</t>
        </is>
      </c>
      <c r="E126" s="14" t="inlineStr">
        <is>
          <t>打开项目详情</t>
        </is>
      </c>
      <c r="F126" s="14" t="inlineStr">
        <is>
          <t>1. Updates 里写一条
2. 编辑它
3. 删除它</t>
        </is>
      </c>
      <c r="G126" s="14" t="inlineStr">
        <is>
          <t>三步都成功；显示作者和时间</t>
        </is>
      </c>
      <c r="H126" s="14" t="inlineStr">
        <is>
          <t>§12 Updates 新增、修改、删除</t>
        </is>
      </c>
      <c r="I126" s="13" t="inlineStr">
        <is>
          <t>同等</t>
        </is>
      </c>
      <c r="J126" s="13" t="n"/>
      <c r="K126" s="16" t="n"/>
      <c r="L126" s="13" t="n"/>
      <c r="M126" s="14" t="n"/>
    </row>
    <row r="127">
      <c r="A127" s="13" t="inlineStr">
        <is>
          <t>13-02</t>
        </is>
      </c>
      <c r="B127" s="14" t="inlineStr">
        <is>
          <t>通知与 Updates</t>
        </is>
      </c>
      <c r="C127" s="14" t="inlineStr">
        <is>
          <t>@ 提及</t>
        </is>
      </c>
      <c r="D127" s="15" t="inlineStr">
        <is>
          <t>P0</t>
        </is>
      </c>
      <c r="E127" s="14" t="inlineStr">
        <is>
          <t>两个用户 A、B</t>
        </is>
      </c>
      <c r="F127" s="14" t="inlineStr">
        <is>
          <t>1. A 在 Update 里输入 @ 并选 B，发送
2. B 登录看铃铛</t>
        </is>
      </c>
      <c r="G127" s="14" t="inlineStr">
        <is>
          <t>B 收到通知，点通知能跳到该项目</t>
        </is>
      </c>
      <c r="H127" s="14" t="inlineStr">
        <is>
          <t>§12 @ 人，被 @ 的人收到通知</t>
        </is>
      </c>
      <c r="I127" s="13" t="inlineStr">
        <is>
          <t>同等</t>
        </is>
      </c>
      <c r="J127" s="13" t="n"/>
      <c r="K127" s="16" t="n"/>
      <c r="L127" s="13" t="n"/>
      <c r="M127" s="14" t="n"/>
    </row>
    <row r="128">
      <c r="A128" s="13" t="inlineStr">
        <is>
          <t>13-03</t>
        </is>
      </c>
      <c r="B128" s="14" t="inlineStr">
        <is>
          <t>通知与 Updates</t>
        </is>
      </c>
      <c r="C128" s="14" t="inlineStr">
        <is>
          <t>通知已读</t>
        </is>
      </c>
      <c r="D128" s="13" t="inlineStr">
        <is>
          <t>P1</t>
        </is>
      </c>
      <c r="E128" s="14" t="inlineStr">
        <is>
          <t>有未读通知</t>
        </is>
      </c>
      <c r="F128" s="14" t="inlineStr">
        <is>
          <t>1. 打开铃铛，标为已读</t>
        </is>
      </c>
      <c r="G128" s="14" t="inlineStr">
        <is>
          <t>未读数减少</t>
        </is>
      </c>
      <c r="H128" s="14" t="inlineStr">
        <is>
          <t>§11 Notification Log</t>
        </is>
      </c>
      <c r="I128" s="13" t="inlineStr">
        <is>
          <t>同等</t>
        </is>
      </c>
      <c r="J128" s="13" t="n"/>
      <c r="K128" s="16" t="n"/>
      <c r="L128" s="13" t="n"/>
      <c r="M128" s="14" t="n"/>
    </row>
    <row r="129">
      <c r="A129" s="13" t="inlineStr">
        <is>
          <t>13-04</t>
        </is>
      </c>
      <c r="B129" s="14" t="inlineStr">
        <is>
          <t>通知与 Updates</t>
        </is>
      </c>
      <c r="C129" s="14" t="inlineStr">
        <is>
          <t>邮件通知</t>
        </is>
      </c>
      <c r="D129" s="13" t="inlineStr">
        <is>
          <t>P2</t>
        </is>
      </c>
      <c r="E129" s="14" t="inlineStr">
        <is>
          <t>无</t>
        </is>
      </c>
      <c r="F129" s="14" t="inlineStr">
        <is>
          <t>1. 无</t>
        </is>
      </c>
      <c r="G129" s="14" t="inlineStr">
        <is>
          <t>新系统暂只有站内通知，邮件等邮件模块（已知限制），记录即可</t>
        </is>
      </c>
      <c r="H129" s="14" t="inlineStr">
        <is>
          <t>§11 是否发邮件取决于通知邮件开关</t>
        </is>
      </c>
      <c r="I129" s="18" t="inlineStr">
        <is>
          <t>差异</t>
        </is>
      </c>
      <c r="J129" s="13" t="n"/>
      <c r="K129" s="16" t="n"/>
      <c r="L129" s="13" t="n"/>
      <c r="M129" s="14" t="n"/>
    </row>
    <row r="130">
      <c r="A130" s="13" t="inlineStr">
        <is>
          <t>14-01</t>
        </is>
      </c>
      <c r="B130" s="14" t="inlineStr">
        <is>
          <t>活动记录与撤销</t>
        </is>
      </c>
      <c r="C130" s="14" t="inlineStr">
        <is>
          <t>项目活动记录</t>
        </is>
      </c>
      <c r="D130" s="15" t="inlineStr">
        <is>
          <t>P0</t>
        </is>
      </c>
      <c r="E130" s="14" t="inlineStr">
        <is>
          <t>改过某项目的几个字段</t>
        </is>
      </c>
      <c r="F130" s="14" t="inlineStr">
        <is>
          <t>1. 打开项目详情 → Activity</t>
        </is>
      </c>
      <c r="G130" s="14" t="inlineStr">
        <is>
          <t>按时间列出每次修改：谁、什么时候、哪个字段、前值、后值</t>
        </is>
      </c>
      <c r="H130" s="14" t="inlineStr">
        <is>
          <t>§12 打开一个项目的活动记录</t>
        </is>
      </c>
      <c r="I130" s="13" t="inlineStr">
        <is>
          <t>同等</t>
        </is>
      </c>
      <c r="J130" s="13" t="n"/>
      <c r="K130" s="16" t="n"/>
      <c r="L130" s="13" t="n"/>
      <c r="M130" s="14" t="n"/>
    </row>
    <row r="131">
      <c r="A131" s="13" t="inlineStr">
        <is>
          <t>14-02</t>
        </is>
      </c>
      <c r="B131" s="14" t="inlineStr">
        <is>
          <t>活动记录与撤销</t>
        </is>
      </c>
      <c r="C131" s="14" t="inlineStr">
        <is>
          <t>全局活动筛选</t>
        </is>
      </c>
      <c r="D131" s="15" t="inlineStr">
        <is>
          <t>P0</t>
        </is>
      </c>
      <c r="E131" s="14" t="inlineStr">
        <is>
          <t>有多个用户做过修改</t>
        </is>
      </c>
      <c r="F131" s="14" t="inlineStr">
        <is>
          <t>1. 侧边栏 Activity
2. 分别按人、按对象（项目/客户）、按动作（创建/更新/删除）筛选</t>
        </is>
      </c>
      <c r="G131" s="14" t="inlineStr">
        <is>
          <t>筛选结果正确</t>
        </is>
      </c>
      <c r="H131" s="14" t="inlineStr">
        <is>
          <t>§12 全局活动按人、对象、动作筛选</t>
        </is>
      </c>
      <c r="I131" s="13" t="inlineStr">
        <is>
          <t>同等</t>
        </is>
      </c>
      <c r="J131" s="13" t="n"/>
      <c r="K131" s="16" t="n"/>
      <c r="L131" s="13" t="n"/>
      <c r="M131" s="14" t="n"/>
    </row>
    <row r="132">
      <c r="A132" s="13" t="inlineStr">
        <is>
          <t>14-03</t>
        </is>
      </c>
      <c r="B132" s="14" t="inlineStr">
        <is>
          <t>活动记录与撤销</t>
        </is>
      </c>
      <c r="C132" s="14" t="inlineStr">
        <is>
          <t>修改值的可见性</t>
        </is>
      </c>
      <c r="D132" s="13" t="inlineStr">
        <is>
          <t>P1</t>
        </is>
      </c>
      <c r="E132" s="14" t="inlineStr">
        <is>
          <t>member 用户 B 和 manager</t>
        </is>
      </c>
      <c r="F132" s="14" t="inlineStr">
        <is>
          <t>1. 分别用 B 和 manager 打开 Activity</t>
        </is>
      </c>
      <c r="G132" s="14" t="inlineStr">
        <is>
          <t>manager 能看到具体前后值；B 看不到值（只看到改了哪个字段）</t>
        </is>
      </c>
      <c r="H132" s="14" t="inlineStr">
        <is>
          <t>§12 值默认遮住，输入密码后显示</t>
        </is>
      </c>
      <c r="I132" s="18" t="inlineStr">
        <is>
          <t>差异</t>
        </is>
      </c>
      <c r="J132" s="13" t="n"/>
      <c r="K132" s="16" t="n"/>
      <c r="L132" s="13" t="n"/>
      <c r="M132" s="14" t="n"/>
    </row>
    <row r="133">
      <c r="A133" s="13" t="inlineStr">
        <is>
          <t>14-04</t>
        </is>
      </c>
      <c r="B133" s="14" t="inlineStr">
        <is>
          <t>活动记录与撤销</t>
        </is>
      </c>
      <c r="C133" s="14" t="inlineStr">
        <is>
          <t>撤销一条修改</t>
        </is>
      </c>
      <c r="D133" s="15" t="inlineStr">
        <is>
          <t>P0</t>
        </is>
      </c>
      <c r="E133" s="14" t="inlineStr">
        <is>
          <t>刚改过某项目 Status</t>
        </is>
      </c>
      <c r="F133" s="14" t="inlineStr">
        <is>
          <t>1. Activity 里对这条点 Undo</t>
        </is>
      </c>
      <c r="G133" s="14" t="inlineStr">
        <is>
          <t>Status 回到原值；这次撤销本身也被记录</t>
        </is>
      </c>
      <c r="H133" s="14" t="inlineStr">
        <is>
          <t>§16 撤销项目修改</t>
        </is>
      </c>
      <c r="I133" s="13" t="inlineStr">
        <is>
          <t>同等</t>
        </is>
      </c>
      <c r="J133" s="13" t="n"/>
      <c r="K133" s="16" t="n"/>
      <c r="L133" s="13" t="n"/>
      <c r="M133" s="14" t="n"/>
    </row>
    <row r="134">
      <c r="A134" s="13" t="inlineStr">
        <is>
          <t>14-05</t>
        </is>
      </c>
      <c r="B134" s="14" t="inlineStr">
        <is>
          <t>活动记录与撤销</t>
        </is>
      </c>
      <c r="C134" s="14" t="inlineStr">
        <is>
          <t>已被再改过时拒绝撤销</t>
        </is>
      </c>
      <c r="D134" s="15" t="inlineStr">
        <is>
          <t>P0</t>
        </is>
      </c>
      <c r="E134" s="14" t="inlineStr">
        <is>
          <t>某字段先由 A→B，再由 B→C</t>
        </is>
      </c>
      <c r="F134" s="14" t="inlineStr">
        <is>
          <t>1. 撤销 A→B 那一条</t>
        </is>
      </c>
      <c r="G134" s="14" t="inlineStr">
        <is>
          <t>被拒绝，不会把 C 覆盖成 A</t>
        </is>
      </c>
      <c r="H134" s="14" t="inlineStr">
        <is>
          <t>§16 当前值必须仍等于当时改成的值，否则拒绝</t>
        </is>
      </c>
      <c r="I134" s="13" t="inlineStr">
        <is>
          <t>同等</t>
        </is>
      </c>
      <c r="J134" s="13" t="n"/>
      <c r="K134" s="16" t="n"/>
      <c r="L134" s="13" t="n"/>
      <c r="M134" s="14" t="n"/>
    </row>
    <row r="135">
      <c r="A135" s="13" t="inlineStr">
        <is>
          <t>14-06</t>
        </is>
      </c>
      <c r="B135" s="14" t="inlineStr">
        <is>
          <t>活动记录与撤销</t>
        </is>
      </c>
      <c r="C135" s="14" t="inlineStr">
        <is>
          <t>按批次撤销</t>
        </is>
      </c>
      <c r="D135" s="15" t="inlineStr">
        <is>
          <t>P0</t>
        </is>
      </c>
      <c r="E135" s="14" t="inlineStr">
        <is>
          <t>做过一次批量改字段（3 行）</t>
        </is>
      </c>
      <c r="F135" s="14" t="inlineStr">
        <is>
          <t>1. Activity 里对这次批量操作点 Undo whole batch</t>
        </is>
      </c>
      <c r="G135" s="14" t="inlineStr">
        <is>
          <t>3 行一起恢复；其中被别人再改过的行跳过，其余照常恢复</t>
        </is>
      </c>
      <c r="H135" s="14" t="inlineStr">
        <is>
          <t>§16 批量撤销按批次处理，不能撤销的行跳过</t>
        </is>
      </c>
      <c r="I135" s="13" t="inlineStr">
        <is>
          <t>同等</t>
        </is>
      </c>
      <c r="J135" s="13" t="n"/>
      <c r="K135" s="16" t="n"/>
      <c r="L135" s="13" t="n"/>
      <c r="M135" s="14" t="n"/>
    </row>
    <row r="136">
      <c r="A136" s="13" t="inlineStr">
        <is>
          <t>14-07</t>
        </is>
      </c>
      <c r="B136" s="14" t="inlineStr">
        <is>
          <t>活动记录与撤销</t>
        </is>
      </c>
      <c r="C136" s="14" t="inlineStr">
        <is>
          <t>撤销不触发自动化</t>
        </is>
      </c>
      <c r="D136" s="13" t="inlineStr">
        <is>
          <t>P1</t>
        </is>
      </c>
      <c r="E136" s="14" t="inlineStr">
        <is>
          <t>有一条"状态变成 X"的规则</t>
        </is>
      </c>
      <c r="F136" s="14" t="inlineStr">
        <is>
          <t>1. 把状态改成 X（触发一次）
2. 撤销后再撤销撤销（或制造一次撤销回 X）</t>
        </is>
      </c>
      <c r="G136" s="14" t="inlineStr">
        <is>
          <t>撤销写回旧值时不触发规则</t>
        </is>
      </c>
      <c r="H136" s="14" t="inlineStr">
        <is>
          <t>§16 写回旧值时不跑自动化</t>
        </is>
      </c>
      <c r="I136" s="13" t="inlineStr">
        <is>
          <t>同等</t>
        </is>
      </c>
      <c r="J136" s="13" t="n"/>
      <c r="K136" s="16" t="n"/>
      <c r="L136" s="13" t="n"/>
      <c r="M136" s="14" t="n"/>
    </row>
    <row r="137">
      <c r="A137" s="13" t="inlineStr">
        <is>
          <t>14-08</t>
        </is>
      </c>
      <c r="B137" s="14" t="inlineStr">
        <is>
          <t>活动记录与撤销</t>
        </is>
      </c>
      <c r="C137" s="14" t="inlineStr">
        <is>
          <t>客户、任务、联系人的撤销</t>
        </is>
      </c>
      <c r="D137" s="13" t="inlineStr">
        <is>
          <t>P2</t>
        </is>
      </c>
      <c r="E137" s="14" t="inlineStr">
        <is>
          <t>改过客户名称、任务标题</t>
        </is>
      </c>
      <c r="F137" s="14" t="inlineStr">
        <is>
          <t>1. 在 Activity 里撤销这些修改</t>
        </is>
      </c>
      <c r="G137" s="14" t="inlineStr">
        <is>
          <t>都能撤销</t>
        </is>
      </c>
      <c r="H137" s="14" t="inlineStr">
        <is>
          <t>老系统只能撤销项目字段</t>
        </is>
      </c>
      <c r="I137" s="19" t="inlineStr">
        <is>
          <t>增强</t>
        </is>
      </c>
      <c r="J137" s="13" t="n"/>
      <c r="K137" s="16" t="n"/>
      <c r="L137" s="13" t="n"/>
      <c r="M137" s="14" t="n"/>
    </row>
    <row r="138">
      <c r="A138" s="13" t="inlineStr">
        <is>
          <t>15-01</t>
        </is>
      </c>
      <c r="B138" s="14" t="inlineStr">
        <is>
          <t>用户与个人设置</t>
        </is>
      </c>
      <c r="C138" s="14" t="inlineStr">
        <is>
          <t>搜索用户</t>
        </is>
      </c>
      <c r="D138" s="13" t="inlineStr">
        <is>
          <t>P1</t>
        </is>
      </c>
      <c r="E138" s="14" t="inlineStr">
        <is>
          <t>管理员</t>
        </is>
      </c>
      <c r="F138" s="14" t="inlineStr">
        <is>
          <t>1. Users 页面搜索</t>
        </is>
      </c>
      <c r="G138" s="14" t="inlineStr">
        <is>
          <t>能按名字或邮箱找到</t>
        </is>
      </c>
      <c r="H138" s="14" t="inlineStr">
        <is>
          <t>§13 搜索用户</t>
        </is>
      </c>
      <c r="I138" s="13" t="inlineStr">
        <is>
          <t>同等</t>
        </is>
      </c>
      <c r="J138" s="13" t="n"/>
      <c r="K138" s="16" t="n"/>
      <c r="L138" s="13" t="n"/>
      <c r="M138" s="14" t="n"/>
    </row>
    <row r="139">
      <c r="A139" s="13" t="inlineStr">
        <is>
          <t>15-02</t>
        </is>
      </c>
      <c r="B139" s="14" t="inlineStr">
        <is>
          <t>用户与个人设置</t>
        </is>
      </c>
      <c r="C139" s="14" t="inlineStr">
        <is>
          <t>新建用户</t>
        </is>
      </c>
      <c r="D139" s="15" t="inlineStr">
        <is>
          <t>P0</t>
        </is>
      </c>
      <c r="E139" s="14" t="inlineStr">
        <is>
          <t>管理员</t>
        </is>
      </c>
      <c r="F139" s="14" t="inlineStr">
        <is>
          <t>1. Users → New，填姓名、邮箱，给 Accounting member、Grants viewer
2. 设密码
3. 用新账号登录</t>
        </is>
      </c>
      <c r="G139" s="14" t="inlineStr">
        <is>
          <t>能登录，权限符合所给角色；不会自动发欢迎邮件</t>
        </is>
      </c>
      <c r="H139" s="14" t="inlineStr">
        <is>
          <t>§13 新建用户：姓名、邮箱、是否启用、能否进 Accounting/Grants</t>
        </is>
      </c>
      <c r="I139" s="19" t="inlineStr">
        <is>
          <t>增强</t>
        </is>
      </c>
      <c r="J139" s="13" t="n"/>
      <c r="K139" s="16" t="n"/>
      <c r="L139" s="13" t="n"/>
      <c r="M139" s="14" t="n"/>
    </row>
    <row r="140">
      <c r="A140" s="13" t="inlineStr">
        <is>
          <t>15-03</t>
        </is>
      </c>
      <c r="B140" s="14" t="inlineStr">
        <is>
          <t>用户与个人设置</t>
        </is>
      </c>
      <c r="C140" s="14" t="inlineStr">
        <is>
          <t>修改用户和停用</t>
        </is>
      </c>
      <c r="D140" s="15" t="inlineStr">
        <is>
          <t>P0</t>
        </is>
      </c>
      <c r="E140" s="14" t="inlineStr">
        <is>
          <t>管理员；用户 D 已登录</t>
        </is>
      </c>
      <c r="F140" s="14" t="inlineStr">
        <is>
          <t>1. 改 D 的姓名和角色
2. 停用 D</t>
        </is>
      </c>
      <c r="G140" s="14" t="inlineStr">
        <is>
          <t>修改生效；停用后 D 不能再登录</t>
        </is>
      </c>
      <c r="H140" s="14" t="inlineStr">
        <is>
          <t>§13 修改资料、是否启用</t>
        </is>
      </c>
      <c r="I140" s="13" t="inlineStr">
        <is>
          <t>同等</t>
        </is>
      </c>
      <c r="J140" s="13" t="n"/>
      <c r="K140" s="16" t="n"/>
      <c r="L140" s="13" t="n"/>
      <c r="M140" s="14" t="n"/>
    </row>
    <row r="141">
      <c r="A141" s="13" t="inlineStr">
        <is>
          <t>15-04</t>
        </is>
      </c>
      <c r="B141" s="14" t="inlineStr">
        <is>
          <t>用户与个人设置</t>
        </is>
      </c>
      <c r="C141" s="14" t="inlineStr">
        <is>
          <t>别名</t>
        </is>
      </c>
      <c r="D141" s="13" t="inlineStr">
        <is>
          <t>P1</t>
        </is>
      </c>
      <c r="E141" s="14" t="inlineStr">
        <is>
          <t>管理员</t>
        </is>
      </c>
      <c r="F141" s="14" t="inlineStr">
        <is>
          <t>1. 给用户填 Other names（如 CL）
2. 在 Update 里 @CL，或导入含 CL 的 CSV</t>
        </is>
      </c>
      <c r="G141" s="14" t="inlineStr">
        <is>
          <t>能用别名找到这个人</t>
        </is>
      </c>
      <c r="H141" s="14" t="inlineStr">
        <is>
          <t>老系统没有</t>
        </is>
      </c>
      <c r="I141" s="17" t="inlineStr">
        <is>
          <t>新增</t>
        </is>
      </c>
      <c r="J141" s="13" t="n"/>
      <c r="K141" s="16" t="n"/>
      <c r="L141" s="13" t="n"/>
      <c r="M141" s="14" t="n"/>
    </row>
    <row r="142">
      <c r="A142" s="13" t="inlineStr">
        <is>
          <t>15-05</t>
        </is>
      </c>
      <c r="B142" s="14" t="inlineStr">
        <is>
          <t>用户与个人设置</t>
        </is>
      </c>
      <c r="C142" s="14" t="inlineStr">
        <is>
          <t>我的资料</t>
        </is>
      </c>
      <c r="D142" s="15" t="inlineStr">
        <is>
          <t>P0</t>
        </is>
      </c>
      <c r="E142" s="14" t="inlineStr">
        <is>
          <t>任意用户</t>
        </is>
      </c>
      <c r="F142" s="14" t="inlineStr">
        <is>
          <t>1. 左下角名字 → Settings → 改显示名</t>
        </is>
      </c>
      <c r="G142" s="14" t="inlineStr">
        <is>
          <t>保存后左下角名字更新</t>
        </is>
      </c>
      <c r="H142" s="14" t="inlineStr">
        <is>
          <t>§13 Settings：My Profile</t>
        </is>
      </c>
      <c r="I142" s="13" t="inlineStr">
        <is>
          <t>同等</t>
        </is>
      </c>
      <c r="J142" s="13" t="n"/>
      <c r="K142" s="16" t="n"/>
      <c r="L142" s="13" t="n"/>
      <c r="M142" s="14" t="n"/>
    </row>
    <row r="143">
      <c r="A143" s="13" t="inlineStr">
        <is>
          <t>15-06</t>
        </is>
      </c>
      <c r="B143" s="14" t="inlineStr">
        <is>
          <t>用户与个人设置</t>
        </is>
      </c>
      <c r="C143" s="14" t="inlineStr">
        <is>
          <t>修改密码</t>
        </is>
      </c>
      <c r="D143" s="15" t="inlineStr">
        <is>
          <t>P0</t>
        </is>
      </c>
      <c r="E143" s="14" t="inlineStr">
        <is>
          <t>任意用户</t>
        </is>
      </c>
      <c r="F143" s="14" t="inlineStr">
        <is>
          <t>1. Settings → 改密码（需输入旧密码）
2. 退出后用新密码登录</t>
        </is>
      </c>
      <c r="G143" s="14" t="inlineStr">
        <is>
          <t>旧密码错误时不能改；改后新密码可用、旧密码不可用</t>
        </is>
      </c>
      <c r="H143" s="14" t="inlineStr">
        <is>
          <t>§13 Settings：Change Password</t>
        </is>
      </c>
      <c r="I143" s="13" t="inlineStr">
        <is>
          <t>同等</t>
        </is>
      </c>
      <c r="J143" s="13" t="n"/>
      <c r="K143" s="16" t="n"/>
      <c r="L143" s="13" t="n"/>
      <c r="M143" s="14" t="n"/>
    </row>
    <row r="144">
      <c r="A144" s="13" t="inlineStr">
        <is>
          <t>16-01</t>
        </is>
      </c>
      <c r="B144" s="14" t="inlineStr">
        <is>
          <t>系统维护</t>
        </is>
      </c>
      <c r="C144" s="14" t="inlineStr">
        <is>
          <t>System health</t>
        </is>
      </c>
      <c r="D144" s="13" t="inlineStr">
        <is>
          <t>P1</t>
        </is>
      </c>
      <c r="E144" s="14" t="inlineStr">
        <is>
          <t>管理员</t>
        </is>
      </c>
      <c r="F144" s="14" t="inlineStr">
        <is>
          <t>1. 打开 System health</t>
        </is>
      </c>
      <c r="G144" s="14" t="inlineStr">
        <is>
          <t>显示部署版本、数据库版本、后台进程（worker）在运行、失败的任务（如有）</t>
        </is>
      </c>
      <c r="H144" s="14" t="inlineStr">
        <is>
          <t>§4 Debug Tools</t>
        </is>
      </c>
      <c r="I144" s="19" t="inlineStr">
        <is>
          <t>增强</t>
        </is>
      </c>
      <c r="J144" s="13" t="n"/>
      <c r="K144" s="16" t="n"/>
      <c r="L144" s="13" t="n"/>
      <c r="M144" s="14" t="n"/>
    </row>
    <row r="145">
      <c r="A145" s="13" t="inlineStr">
        <is>
          <t>16-02</t>
        </is>
      </c>
      <c r="B145" s="14" t="inlineStr">
        <is>
          <t>系统维护</t>
        </is>
      </c>
      <c r="C145" s="14" t="inlineStr">
        <is>
          <t>重试失败任务</t>
        </is>
      </c>
      <c r="D145" s="13" t="inlineStr">
        <is>
          <t>P2</t>
        </is>
      </c>
      <c r="E145" s="14" t="inlineStr">
        <is>
          <t>System health 里有失败的投递（如没有可跳过）</t>
        </is>
      </c>
      <c r="F145" s="14" t="inlineStr">
        <is>
          <t>1. 点 Retry</t>
        </is>
      </c>
      <c r="G145" s="14" t="inlineStr">
        <is>
          <t>重新执行，成功后从失败列表消失</t>
        </is>
      </c>
      <c r="H145" s="14" t="inlineStr">
        <is>
          <t>老系统没有</t>
        </is>
      </c>
      <c r="I145" s="17" t="inlineStr">
        <is>
          <t>新增</t>
        </is>
      </c>
      <c r="J145" s="13" t="n"/>
      <c r="K145" s="16" t="n"/>
      <c r="L145" s="13" t="n"/>
      <c r="M145" s="14" t="n"/>
    </row>
    <row r="146">
      <c r="A146" s="13" t="inlineStr">
        <is>
          <t>16-03</t>
        </is>
      </c>
      <c r="B146" s="14" t="inlineStr">
        <is>
          <t>系统维护</t>
        </is>
      </c>
      <c r="C146" s="14" t="inlineStr">
        <is>
          <t>健康检查地址</t>
        </is>
      </c>
      <c r="D146" s="13" t="inlineStr">
        <is>
          <t>P2</t>
        </is>
      </c>
      <c r="E146" s="14" t="inlineStr">
        <is>
          <t>无</t>
        </is>
      </c>
      <c r="F146" s="14" t="inlineStr">
        <is>
          <t>1. 浏览器打开 /api/health</t>
        </is>
      </c>
      <c r="G146" s="14" t="inlineStr">
        <is>
          <t>返回 git_sha 和 db_revision，与刚部署的版本一致</t>
        </is>
      </c>
      <c r="H146" s="14" t="inlineStr">
        <is>
          <t>老系统没有</t>
        </is>
      </c>
      <c r="I146" s="17" t="inlineStr">
        <is>
          <t>新增</t>
        </is>
      </c>
      <c r="J146" s="13" t="n"/>
      <c r="K146" s="16" t="n"/>
      <c r="L146" s="13" t="n"/>
      <c r="M146" s="14" t="n"/>
    </row>
    <row r="147">
      <c r="A147" s="13" t="inlineStr">
        <is>
          <t>17-01</t>
        </is>
      </c>
      <c r="B147" s="14" t="inlineStr">
        <is>
          <t>数据迁移</t>
        </is>
      </c>
      <c r="C147" s="14" t="inlineStr">
        <is>
          <t>上传 CSV 与编码识别</t>
        </is>
      </c>
      <c r="D147" s="15" t="inlineStr">
        <is>
          <t>P0</t>
        </is>
      </c>
      <c r="E147" s="14" t="inlineStr">
        <is>
          <t>管理员；先按 MIGRATION.md 建好用户和别名</t>
        </is>
      </c>
      <c r="F147" s="14" t="inlineStr">
        <is>
          <t>1. Data migration → 选目标看板 Financials &amp; Tax Return
2. 上传老系统导出的 CSV（Excel 另存的 GBK 文件）</t>
        </is>
      </c>
      <c r="G147" s="14" t="inlineStr">
        <is>
          <t>页面显示识别到的编码，预览里中文不乱码</t>
        </is>
      </c>
      <c r="H147" s="14" t="inlineStr">
        <is>
          <t>迁移是新系统功能；老系统数据必须能完整搬过来</t>
        </is>
      </c>
      <c r="I147" s="17" t="inlineStr">
        <is>
          <t>新增</t>
        </is>
      </c>
      <c r="J147" s="13" t="n"/>
      <c r="K147" s="16" t="n"/>
      <c r="L147" s="13" t="n"/>
      <c r="M147" s="14" t="n"/>
    </row>
    <row r="148">
      <c r="A148" s="13" t="inlineStr">
        <is>
          <t>17-02</t>
        </is>
      </c>
      <c r="B148" s="14" t="inlineStr">
        <is>
          <t>数据迁移</t>
        </is>
      </c>
      <c r="C148" s="14" t="inlineStr">
        <is>
          <t>列映射</t>
        </is>
      </c>
      <c r="D148" s="15" t="inlineStr">
        <is>
          <t>P0</t>
        </is>
      </c>
      <c r="E148" s="14" t="inlineStr">
        <is>
          <t>接上一条</t>
        </is>
      </c>
      <c r="F148" s="14" t="inlineStr">
        <is>
          <t>1. 检查自动匹配的列
2. 把 Last Updated 设为 Don't import</t>
        </is>
      </c>
      <c r="G148" s="14" t="inlineStr">
        <is>
          <t>老系统列名大多自动对上；可以手动改</t>
        </is>
      </c>
      <c r="H148" s="14" t="inlineStr">
        <is>
          <t>同上</t>
        </is>
      </c>
      <c r="I148" s="17" t="inlineStr">
        <is>
          <t>新增</t>
        </is>
      </c>
      <c r="J148" s="13" t="n"/>
      <c r="K148" s="16" t="n"/>
      <c r="L148" s="13" t="n"/>
      <c r="M148" s="14" t="n"/>
    </row>
    <row r="149">
      <c r="A149" s="13" t="inlineStr">
        <is>
          <t>17-03</t>
        </is>
      </c>
      <c r="B149" s="14" t="inlineStr">
        <is>
          <t>数据迁移</t>
        </is>
      </c>
      <c r="C149" s="14" t="inlineStr">
        <is>
          <t>值匹配</t>
        </is>
      </c>
      <c r="D149" s="15" t="inlineStr">
        <is>
          <t>P0</t>
        </is>
      </c>
      <c r="E149" s="14" t="inlineStr">
        <is>
          <t>接上一条</t>
        </is>
      </c>
      <c r="F149" s="14" t="inlineStr">
        <is>
          <t>1. 查看没对上的状态、选项、人名
2. 指向已有值或新建</t>
        </is>
      </c>
      <c r="G149" s="14" t="inlineStr">
        <is>
          <t>只列出没对上的值；处理后进入下一步</t>
        </is>
      </c>
      <c r="H149" s="14" t="inlineStr">
        <is>
          <t>同上</t>
        </is>
      </c>
      <c r="I149" s="17" t="inlineStr">
        <is>
          <t>新增</t>
        </is>
      </c>
      <c r="J149" s="13" t="n"/>
      <c r="K149" s="16" t="n"/>
      <c r="L149" s="13" t="n"/>
      <c r="M149" s="14" t="n"/>
    </row>
    <row r="150">
      <c r="A150" s="13" t="inlineStr">
        <is>
          <t>17-04</t>
        </is>
      </c>
      <c r="B150" s="14" t="inlineStr">
        <is>
          <t>数据迁移</t>
        </is>
      </c>
      <c r="C150" s="14" t="inlineStr">
        <is>
          <t>Check 与 Import</t>
        </is>
      </c>
      <c r="D150" s="15" t="inlineStr">
        <is>
          <t>P0</t>
        </is>
      </c>
      <c r="E150" s="14" t="inlineStr">
        <is>
          <t>接上一条</t>
        </is>
      </c>
      <c r="F150" s="14" t="inlineStr">
        <is>
          <t>1. 点 Check，看 Ready / With warnings / With errors
2. Import</t>
        </is>
      </c>
      <c r="G150" s="14" t="inlineStr">
        <is>
          <t>有 error 的行不导入；完成后报告各结果行数，并有逐列对账（源文件有值的行数 vs 导入后有值的行数）</t>
        </is>
      </c>
      <c r="H150" s="14" t="inlineStr">
        <is>
          <t>同上</t>
        </is>
      </c>
      <c r="I150" s="17" t="inlineStr">
        <is>
          <t>新增</t>
        </is>
      </c>
      <c r="J150" s="13" t="n"/>
      <c r="K150" s="16" t="n"/>
      <c r="L150" s="13" t="n"/>
      <c r="M150" s="14" t="n"/>
    </row>
    <row r="151">
      <c r="A151" s="13" t="inlineStr">
        <is>
          <t>17-05</t>
        </is>
      </c>
      <c r="B151" s="14" t="inlineStr">
        <is>
          <t>数据迁移</t>
        </is>
      </c>
      <c r="C151" s="14" t="inlineStr">
        <is>
          <t>重复导入不重复创建</t>
        </is>
      </c>
      <c r="D151" s="15" t="inlineStr">
        <is>
          <t>P0</t>
        </is>
      </c>
      <c r="E151" s="14" t="inlineStr">
        <is>
          <t>已导入一次</t>
        </is>
      </c>
      <c r="F151" s="14" t="inlineStr">
        <is>
          <t>1. 用同一文件再导入一次</t>
        </is>
      </c>
      <c r="G151" s="14" t="inlineStr">
        <is>
          <t>结果是 updated，不是 created；看板行数不变</t>
        </is>
      </c>
      <c r="H151" s="14" t="inlineStr">
        <is>
          <t>同上</t>
        </is>
      </c>
      <c r="I151" s="17" t="inlineStr">
        <is>
          <t>新增</t>
        </is>
      </c>
      <c r="J151" s="13" t="n"/>
      <c r="K151" s="16" t="n"/>
      <c r="L151" s="13" t="n"/>
      <c r="M151" s="14" t="n"/>
    </row>
    <row r="152">
      <c r="A152" s="13" t="inlineStr">
        <is>
          <t>17-06</t>
        </is>
      </c>
      <c r="B152" s="14" t="inlineStr">
        <is>
          <t>数据迁移</t>
        </is>
      </c>
      <c r="C152" s="14" t="inlineStr">
        <is>
          <t>Grants 导入</t>
        </is>
      </c>
      <c r="D152" s="15" t="inlineStr">
        <is>
          <t>P0</t>
        </is>
      </c>
      <c r="E152" s="14" t="inlineStr">
        <is>
          <t>Grants 的 CSV 导出</t>
        </is>
      </c>
      <c r="F152" s="14" t="inlineStr">
        <is>
          <t>1. 导入到 FY 2026</t>
        </is>
      </c>
      <c r="G152" s="14" t="inlineStr">
        <is>
          <t>日期（20260911、2026/9/11 等）都解析成正确日期；人名匹配到用户；客户级字段写到客户上</t>
        </is>
      </c>
      <c r="H152" s="14" t="inlineStr">
        <is>
          <t>同上</t>
        </is>
      </c>
      <c r="I152" s="17" t="inlineStr">
        <is>
          <t>新增</t>
        </is>
      </c>
      <c r="J152" s="13" t="n"/>
      <c r="K152" s="16" t="n"/>
      <c r="L152" s="13" t="n"/>
      <c r="M152" s="14" t="n"/>
    </row>
    <row r="153">
      <c r="A153" s="13" t="inlineStr">
        <is>
          <t>17-07</t>
        </is>
      </c>
      <c r="B153" s="14" t="inlineStr">
        <is>
          <t>数据迁移</t>
        </is>
      </c>
      <c r="C153" s="14" t="inlineStr">
        <is>
          <t>回滚整批导入</t>
        </is>
      </c>
      <c r="D153" s="15" t="inlineStr">
        <is>
          <t>P0</t>
        </is>
      </c>
      <c r="E153" s="14" t="inlineStr">
        <is>
          <t>已有一次导入</t>
        </is>
      </c>
      <c r="F153" s="14" t="inlineStr">
        <is>
          <t>1. Roll back this import</t>
        </is>
      </c>
      <c r="G153" s="14" t="inlineStr">
        <is>
          <t>这次导入创建的项目全部撤掉，更新过的恢复原值</t>
        </is>
      </c>
      <c r="H153" s="14" t="inlineStr">
        <is>
          <t>同上</t>
        </is>
      </c>
      <c r="I153" s="17" t="inlineStr">
        <is>
          <t>新增</t>
        </is>
      </c>
      <c r="J153" s="13" t="n"/>
      <c r="K153" s="16" t="n"/>
      <c r="L153" s="13" t="n"/>
      <c r="M153" s="14" t="n"/>
    </row>
  </sheetData>
  <autoFilter ref="A1:M153"/>
  <conditionalFormatting sqref="J2:J153">
    <cfRule type="cellIs" priority="1" operator="equal" dxfId="0">
      <formula>"通过"</formula>
    </cfRule>
    <cfRule type="cellIs" priority="2" operator="equal" dxfId="1">
      <formula>"不通过"</formula>
    </cfRule>
    <cfRule type="cellIs" priority="3" operator="equal" dxfId="2">
      <formula>"阻塞"</formula>
    </cfRule>
    <cfRule type="cellIs" priority="4" operator="equal" dxfId="3">
      <formula>"跳过"</formula>
    </cfRule>
  </conditionalFormatting>
  <dataValidations count="2">
    <dataValidation sqref="J2:J153" showDropDown="0" showInputMessage="0" showErrorMessage="0" allowBlank="1" type="list">
      <formula1>"通过,不通过,阻塞,跳过"</formula1>
    </dataValidation>
    <dataValidation sqref="K2:K153" showDropDown="0" showInputMessage="0" showErrorMessage="0" allowBlank="1" type="date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2026-10-12T09:46:49Z</dcterms:created>
  <dcterms:modified xmlns:dcterms="http://purl.org/dc/terms/" xmlns:xsi="http://www.w3.org/2001/XMLSchema-instance" xsi:type="dcterms:W3CDTF">2026-10-12T09:46:49Z</dcterms:modified>
</cp:coreProperties>
</file>